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trlProps/ctrlProp9.xml" ContentType="application/vnd.ms-excel.control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trlProps/ctrlProp8.xml" ContentType="application/vnd.ms-excel.controlproperties+xml"/>
  <Override PartName="/xl/ctrlProps/ctrlProp7.xml" ContentType="application/vnd.ms-excel.control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alcChain.xml" ContentType="application/vnd.openxmlformats-officedocument.spreadsheetml.calcChain+xml"/>
  <Override PartName="/xl/ctrlProps/ctrlProp5.xml" ContentType="application/vnd.ms-excel.controlproperties+xml"/>
  <Override PartName="/xl/ctrlProps/ctrlProp6.xml" ContentType="application/vnd.ms-excel.controlproperties+xml"/>
  <Override PartName="/xl/sharedStrings.xml" ContentType="application/vnd.openxmlformats-officedocument.spreadsheetml.sharedStrings+xml"/>
  <Override PartName="/xl/ctrlProps/ctrlProp4.xml" ContentType="application/vnd.ms-excel.controlproperties+xml"/>
  <Override PartName="/xl/ctrlProps/ctrlProp3.xml" ContentType="application/vnd.ms-excel.controlproperties+xml"/>
  <Override PartName="/xl/ctrlProps/ctrlProp2.xml" ContentType="application/vnd.ms-excel.controlproperties+xml"/>
  <Override PartName="/xl/ctrlProps/ctrlProp1.xml" ContentType="application/vnd.ms-excel.contro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3040" windowHeight="9192"/>
  </bookViews>
  <sheets>
    <sheet name="SAM's PROFORMA 001" sheetId="1" r:id="rId1"/>
    <sheet name="Sheet1" sheetId="2" r:id="rId2"/>
  </sheets>
  <externalReferences>
    <externalReference r:id="rId3"/>
  </externalReferences>
  <definedNames>
    <definedName name="_xlnm.Print_Area" localSheetId="0">'SAM''s PROFORMA 001'!$B$3:$I$64</definedName>
    <definedName name="SpellNo3">[1]ExshailSpellNo!$B$20</definedName>
  </definedNames>
  <calcPr calcId="124519"/>
</workbook>
</file>

<file path=xl/calcChain.xml><?xml version="1.0" encoding="utf-8"?>
<calcChain xmlns="http://schemas.openxmlformats.org/spreadsheetml/2006/main">
  <c r="I28" i="1"/>
  <c r="I44" s="1"/>
  <c r="I46" l="1"/>
  <c r="I48" l="1"/>
  <c r="I52" s="1"/>
  <c r="I55" s="1"/>
</calcChain>
</file>

<file path=xl/sharedStrings.xml><?xml version="1.0" encoding="utf-8"?>
<sst xmlns="http://schemas.openxmlformats.org/spreadsheetml/2006/main" count="64" uniqueCount="57">
  <si>
    <t>QTY</t>
  </si>
  <si>
    <t>Amount</t>
  </si>
  <si>
    <t>Date :</t>
  </si>
  <si>
    <t>HSN/SAC CODE</t>
  </si>
  <si>
    <t>Part No</t>
  </si>
  <si>
    <t>NAME OF THE BANK</t>
  </si>
  <si>
    <t>ACCOUNT NUMBER</t>
  </si>
  <si>
    <t>IFSC CODE</t>
  </si>
  <si>
    <t>Amount in words</t>
  </si>
  <si>
    <t>UNIT</t>
  </si>
  <si>
    <t>SL.NO.</t>
  </si>
  <si>
    <t xml:space="preserve">RATE </t>
  </si>
  <si>
    <t>GRAND TOTAL AMOUNT</t>
  </si>
  <si>
    <t xml:space="preserve">Description </t>
  </si>
  <si>
    <t>ADD CGST</t>
  </si>
  <si>
    <t xml:space="preserve">ADD SGST  </t>
  </si>
  <si>
    <t>ADD IGST</t>
  </si>
  <si>
    <t>Authorised Signature</t>
  </si>
  <si>
    <t>BRANCH</t>
  </si>
  <si>
    <t>Balanagar, Hyderabad. Telangana</t>
  </si>
  <si>
    <t xml:space="preserve">BASIC AMOUNT </t>
  </si>
  <si>
    <r>
      <t xml:space="preserve">                                                              </t>
    </r>
    <r>
      <rPr>
        <i/>
        <sz val="11"/>
        <rFont val="Ebrima"/>
      </rPr>
      <t>For</t>
    </r>
    <r>
      <rPr>
        <b/>
        <i/>
        <sz val="11"/>
        <rFont val="Ebrima"/>
      </rPr>
      <t xml:space="preserve"> SAMS ENGINEERING</t>
    </r>
  </si>
  <si>
    <t>BANK OF INDIA</t>
  </si>
  <si>
    <t>BKID0008640</t>
  </si>
  <si>
    <r>
      <t xml:space="preserve">GSTIN NUMBER : </t>
    </r>
    <r>
      <rPr>
        <b/>
        <i/>
        <sz val="12"/>
        <color rgb="FF05056F"/>
        <rFont val="Ebrima"/>
      </rPr>
      <t>36ATKPK1000F1Z9</t>
    </r>
    <r>
      <rPr>
        <b/>
        <i/>
        <sz val="12"/>
        <rFont val="Ebrima"/>
      </rPr>
      <t xml:space="preserve">    </t>
    </r>
    <r>
      <rPr>
        <b/>
        <i/>
        <sz val="11"/>
        <rFont val="Ebrima"/>
      </rPr>
      <t xml:space="preserve">                                                                                        PAN NO  : </t>
    </r>
    <r>
      <rPr>
        <b/>
        <i/>
        <sz val="11"/>
        <color rgb="FF002060"/>
        <rFont val="Ebrima"/>
      </rPr>
      <t>ATKPK1000F</t>
    </r>
  </si>
  <si>
    <r>
      <t xml:space="preserve">                        </t>
    </r>
    <r>
      <rPr>
        <b/>
        <i/>
        <u/>
        <sz val="12"/>
        <rFont val="Ebrima"/>
      </rPr>
      <t>PROFORMA INVOICE</t>
    </r>
  </si>
  <si>
    <t>QTN.NO</t>
  </si>
  <si>
    <t>YOUR REF. No.</t>
  </si>
  <si>
    <t>DELIVERY PERIOD</t>
  </si>
  <si>
    <t>PAYMENT TERMS</t>
  </si>
  <si>
    <r>
      <rPr>
        <b/>
        <sz val="9"/>
        <color indexed="8"/>
        <rFont val="Ebrima"/>
      </rPr>
      <t>DECLARATION</t>
    </r>
    <r>
      <rPr>
        <sz val="9"/>
        <color indexed="8"/>
        <rFont val="Ebrima"/>
      </rPr>
      <t xml:space="preserve"> : </t>
    </r>
  </si>
  <si>
    <t>TERMS &amp; CONDITIONS:</t>
  </si>
  <si>
    <t>Please note this is Computer genarated Copy. Signature is Not Necessary</t>
  </si>
  <si>
    <t>VALIDITY</t>
  </si>
  <si>
    <t>15 DAYS</t>
  </si>
  <si>
    <t>50% Advance along with P.O Remaining Balance at the time of Delivery</t>
  </si>
  <si>
    <t>TRANSPORTATION AMOUNT</t>
  </si>
  <si>
    <t>EXTRA</t>
  </si>
  <si>
    <t>DESCRIPTION</t>
  </si>
  <si>
    <t>TOTAL TAX AMOUNT</t>
  </si>
  <si>
    <t>BILLING ADDRESS:</t>
  </si>
  <si>
    <t>GOODS SHIPPING ADDRESS:</t>
  </si>
  <si>
    <t>CONTACT PERSON DETAILS</t>
  </si>
  <si>
    <t>PARTS MANUFACTURING</t>
  </si>
  <si>
    <t>Nos</t>
  </si>
  <si>
    <t>SAMs / 001</t>
  </si>
  <si>
    <r>
      <t xml:space="preserve">INSERT BUSH </t>
    </r>
    <r>
      <rPr>
        <sz val="10"/>
        <rFont val="Calibri"/>
        <family val="2"/>
      </rPr>
      <t>Ø</t>
    </r>
    <r>
      <rPr>
        <sz val="10"/>
        <rFont val="Ebrima"/>
      </rPr>
      <t xml:space="preserve"> 4.2mm _ R0</t>
    </r>
  </si>
  <si>
    <t>4.2_IBD</t>
  </si>
  <si>
    <t>As Per Given Drawing</t>
  </si>
  <si>
    <t>A. VENKATESWARA REDDY. Sr. Engineer</t>
  </si>
  <si>
    <t>Kopparty (V), Chintha Komma Dinne (M)</t>
  </si>
  <si>
    <t>Plot No :165, Jagananna Mega Industrial Hub,</t>
  </si>
  <si>
    <t>Kadapa, Andhra Pradesh - 516003, India</t>
  </si>
  <si>
    <r>
      <t xml:space="preserve">TRIOVISION Composite Technologies Pvt Ltd. </t>
    </r>
    <r>
      <rPr>
        <sz val="9"/>
        <rFont val="Ebrima"/>
      </rPr>
      <t>Unit - 2</t>
    </r>
  </si>
  <si>
    <t>GSTIN NUMBER :      37AAFCT4716N1ZV                               STATE CODE :    37</t>
  </si>
  <si>
    <t>15 Days After Conformation of P.O</t>
  </si>
  <si>
    <r>
      <rPr>
        <i/>
        <sz val="9"/>
        <color rgb="FF002060"/>
        <rFont val="Ebrima"/>
      </rPr>
      <t>RUPEES</t>
    </r>
    <r>
      <rPr>
        <b/>
        <i/>
        <sz val="9"/>
        <color rgb="FF002060"/>
        <rFont val="Ebrima"/>
      </rPr>
      <t xml:space="preserve"> THIRTY TWO THOUSAND THREE HUNDRED and SEVENTY NINE</t>
    </r>
    <r>
      <rPr>
        <i/>
        <sz val="9"/>
        <color rgb="FF002060"/>
        <rFont val="Ebrima"/>
      </rPr>
      <t>ONLY</t>
    </r>
    <r>
      <rPr>
        <b/>
        <i/>
        <sz val="9"/>
        <color rgb="FF002060"/>
        <rFont val="Ebrima"/>
      </rPr>
      <t xml:space="preserve"> </t>
    </r>
    <r>
      <rPr>
        <i/>
        <sz val="9"/>
        <color rgb="FF002060"/>
        <rFont val="Ebrima"/>
      </rPr>
      <t>(Round off 0.20 Paise)</t>
    </r>
  </si>
</sst>
</file>

<file path=xl/styles.xml><?xml version="1.0" encoding="utf-8"?>
<styleSheet xmlns="http://schemas.openxmlformats.org/spreadsheetml/2006/main">
  <numFmts count="3">
    <numFmt numFmtId="164" formatCode="_(* #,##0.00_);_(* \(#,##0.00\);_(* &quot;-&quot;??_);_(@_)"/>
    <numFmt numFmtId="165" formatCode="[$-409]d\-mmm\-yyyy;@"/>
    <numFmt numFmtId="166" formatCode="0.00;[Red]0.00"/>
  </numFmts>
  <fonts count="33">
    <font>
      <sz val="10"/>
      <name val="Arial"/>
    </font>
    <font>
      <sz val="10"/>
      <name val="Arial"/>
      <family val="2"/>
    </font>
    <font>
      <sz val="10"/>
      <name val="Nirmala UI"/>
      <family val="2"/>
    </font>
    <font>
      <b/>
      <sz val="9"/>
      <name val="Ebrima"/>
    </font>
    <font>
      <i/>
      <sz val="10"/>
      <name val="Ebrima"/>
    </font>
    <font>
      <sz val="10"/>
      <name val="Ebrima"/>
    </font>
    <font>
      <b/>
      <sz val="10"/>
      <name val="Ebrima"/>
    </font>
    <font>
      <sz val="9"/>
      <name val="Ebrima"/>
    </font>
    <font>
      <sz val="8"/>
      <name val="Ebrima"/>
    </font>
    <font>
      <b/>
      <i/>
      <u/>
      <sz val="10"/>
      <name val="Ebrima"/>
    </font>
    <font>
      <sz val="7"/>
      <name val="Ebrima"/>
    </font>
    <font>
      <b/>
      <u/>
      <sz val="10"/>
      <name val="Ebrima"/>
    </font>
    <font>
      <sz val="9"/>
      <color indexed="8"/>
      <name val="Ebrima"/>
    </font>
    <font>
      <b/>
      <sz val="9"/>
      <color indexed="8"/>
      <name val="Ebrima"/>
    </font>
    <font>
      <sz val="10"/>
      <name val="Arial"/>
      <family val="2"/>
    </font>
    <font>
      <sz val="7"/>
      <color indexed="8"/>
      <name val="Ebrima"/>
    </font>
    <font>
      <b/>
      <i/>
      <sz val="11"/>
      <name val="Ebrima"/>
    </font>
    <font>
      <b/>
      <sz val="11"/>
      <name val="Ebrima"/>
    </font>
    <font>
      <i/>
      <sz val="11"/>
      <name val="Ebrima"/>
    </font>
    <font>
      <b/>
      <sz val="13.9"/>
      <color indexed="8"/>
      <name val="Ebrima"/>
    </font>
    <font>
      <b/>
      <i/>
      <sz val="12"/>
      <name val="Ebrima"/>
    </font>
    <font>
      <b/>
      <i/>
      <sz val="12"/>
      <color rgb="FF05056F"/>
      <name val="Ebrima"/>
    </font>
    <font>
      <b/>
      <i/>
      <sz val="11"/>
      <color rgb="FF002060"/>
      <name val="Ebrima"/>
    </font>
    <font>
      <b/>
      <i/>
      <sz val="10"/>
      <name val="Ebrima"/>
    </font>
    <font>
      <b/>
      <i/>
      <u/>
      <sz val="12"/>
      <name val="Ebrima"/>
    </font>
    <font>
      <i/>
      <sz val="10"/>
      <name val="Century Gothic"/>
      <family val="2"/>
    </font>
    <font>
      <i/>
      <u/>
      <sz val="9"/>
      <name val="Ebrima"/>
    </font>
    <font>
      <b/>
      <sz val="8.5"/>
      <name val="Ebrima"/>
    </font>
    <font>
      <b/>
      <i/>
      <sz val="9"/>
      <name val="Ebrima"/>
    </font>
    <font>
      <i/>
      <sz val="9"/>
      <name val="Ebrima"/>
    </font>
    <font>
      <b/>
      <i/>
      <sz val="9"/>
      <color rgb="FF002060"/>
      <name val="Ebrima"/>
    </font>
    <font>
      <i/>
      <sz val="9"/>
      <color rgb="FF002060"/>
      <name val="Ebrima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64" fontId="14" fillId="0" borderId="0" applyFont="0" applyFill="0" applyBorder="0" applyAlignment="0" applyProtection="0"/>
  </cellStyleXfs>
  <cellXfs count="19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0" fillId="0" borderId="0" xfId="0" applyBorder="1"/>
    <xf numFmtId="0" fontId="4" fillId="0" borderId="3" xfId="0" applyFont="1" applyBorder="1" applyAlignment="1">
      <alignment horizontal="left" vertical="top"/>
    </xf>
    <xf numFmtId="0" fontId="1" fillId="0" borderId="0" xfId="0" applyFont="1" applyBorder="1"/>
    <xf numFmtId="0" fontId="5" fillId="0" borderId="0" xfId="0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 vertical="top"/>
      <protection locked="0"/>
    </xf>
    <xf numFmtId="49" fontId="5" fillId="0" borderId="12" xfId="0" applyNumberFormat="1" applyFont="1" applyBorder="1" applyAlignment="1" applyProtection="1">
      <alignment vertical="top"/>
      <protection locked="0"/>
    </xf>
    <xf numFmtId="49" fontId="5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>
      <alignment vertical="top" wrapText="1"/>
    </xf>
    <xf numFmtId="0" fontId="5" fillId="2" borderId="12" xfId="0" applyFont="1" applyFill="1" applyBorder="1" applyAlignment="1">
      <alignment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wrapText="1"/>
    </xf>
    <xf numFmtId="0" fontId="5" fillId="2" borderId="6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wrapText="1"/>
    </xf>
    <xf numFmtId="9" fontId="6" fillId="2" borderId="12" xfId="0" applyNumberFormat="1" applyFont="1" applyFill="1" applyBorder="1" applyAlignment="1">
      <alignment horizontal="center" vertical="center" wrapText="1"/>
    </xf>
    <xf numFmtId="9" fontId="6" fillId="2" borderId="2" xfId="0" applyNumberFormat="1" applyFont="1" applyFill="1" applyBorder="1" applyAlignment="1">
      <alignment horizont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wrapText="1"/>
    </xf>
    <xf numFmtId="1" fontId="3" fillId="0" borderId="17" xfId="0" applyNumberFormat="1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 wrapText="1"/>
    </xf>
    <xf numFmtId="49" fontId="11" fillId="0" borderId="12" xfId="0" applyNumberFormat="1" applyFont="1" applyBorder="1" applyAlignment="1" applyProtection="1">
      <alignment horizontal="center" vertical="center"/>
      <protection locked="0"/>
    </xf>
    <xf numFmtId="0" fontId="11" fillId="0" borderId="16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49" fontId="3" fillId="0" borderId="18" xfId="0" applyNumberFormat="1" applyFont="1" applyBorder="1" applyAlignment="1">
      <alignment vertical="center"/>
    </xf>
    <xf numFmtId="0" fontId="10" fillId="0" borderId="1" xfId="0" applyNumberFormat="1" applyFont="1" applyBorder="1" applyAlignment="1">
      <alignment vertical="top"/>
    </xf>
    <xf numFmtId="0" fontId="10" fillId="0" borderId="0" xfId="0" applyNumberFormat="1" applyFont="1" applyBorder="1" applyAlignment="1">
      <alignment vertical="top"/>
    </xf>
    <xf numFmtId="49" fontId="8" fillId="0" borderId="7" xfId="0" applyNumberFormat="1" applyFont="1" applyBorder="1" applyAlignment="1"/>
    <xf numFmtId="0" fontId="6" fillId="0" borderId="11" xfId="0" applyFont="1" applyBorder="1" applyAlignment="1">
      <alignment horizontal="center" vertical="center"/>
    </xf>
    <xf numFmtId="165" fontId="5" fillId="0" borderId="27" xfId="0" applyNumberFormat="1" applyFont="1" applyBorder="1" applyAlignment="1" applyProtection="1">
      <alignment horizontal="center" vertical="center"/>
      <protection locked="0"/>
    </xf>
    <xf numFmtId="0" fontId="3" fillId="0" borderId="31" xfId="0" applyFont="1" applyBorder="1" applyAlignment="1">
      <alignment horizontal="center" vertical="center" wrapText="1"/>
    </xf>
    <xf numFmtId="0" fontId="5" fillId="0" borderId="31" xfId="0" applyFont="1" applyBorder="1" applyAlignment="1" applyProtection="1">
      <alignment horizontal="center" vertical="center"/>
      <protection locked="0"/>
    </xf>
    <xf numFmtId="164" fontId="17" fillId="2" borderId="20" xfId="1" applyFont="1" applyFill="1" applyBorder="1" applyAlignment="1">
      <alignment horizontal="right" vertical="center"/>
    </xf>
    <xf numFmtId="0" fontId="5" fillId="2" borderId="23" xfId="0" applyFont="1" applyFill="1" applyBorder="1" applyAlignment="1">
      <alignment horizontal="center" vertical="center" wrapText="1"/>
    </xf>
    <xf numFmtId="164" fontId="5" fillId="2" borderId="24" xfId="1" applyFont="1" applyFill="1" applyBorder="1" applyAlignment="1">
      <alignment horizontal="right" wrapText="1"/>
    </xf>
    <xf numFmtId="0" fontId="6" fillId="2" borderId="23" xfId="0" applyFont="1" applyFill="1" applyBorder="1" applyAlignment="1">
      <alignment wrapText="1"/>
    </xf>
    <xf numFmtId="0" fontId="5" fillId="2" borderId="23" xfId="0" applyFont="1" applyFill="1" applyBorder="1" applyAlignment="1">
      <alignment wrapText="1"/>
    </xf>
    <xf numFmtId="0" fontId="4" fillId="0" borderId="25" xfId="0" applyFont="1" applyBorder="1" applyAlignment="1">
      <alignment horizontal="left" vertical="top"/>
    </xf>
    <xf numFmtId="164" fontId="17" fillId="0" borderId="20" xfId="1" applyFont="1" applyBorder="1" applyAlignment="1">
      <alignment horizontal="right" vertical="center"/>
    </xf>
    <xf numFmtId="49" fontId="8" fillId="0" borderId="26" xfId="0" applyNumberFormat="1" applyFont="1" applyBorder="1" applyAlignment="1">
      <alignment horizontal="left" vertical="center"/>
    </xf>
    <xf numFmtId="49" fontId="8" fillId="0" borderId="3" xfId="0" applyNumberFormat="1" applyFont="1" applyBorder="1" applyAlignment="1"/>
    <xf numFmtId="0" fontId="3" fillId="0" borderId="16" xfId="0" applyFont="1" applyBorder="1" applyAlignment="1">
      <alignment horizontal="center" vertical="center" wrapText="1"/>
    </xf>
    <xf numFmtId="0" fontId="0" fillId="0" borderId="0" xfId="0" applyBorder="1" applyAlignment="1"/>
    <xf numFmtId="0" fontId="6" fillId="0" borderId="11" xfId="0" applyFont="1" applyBorder="1" applyAlignment="1">
      <alignment horizontal="left" vertical="center"/>
    </xf>
    <xf numFmtId="0" fontId="6" fillId="0" borderId="17" xfId="0" applyFont="1" applyBorder="1" applyAlignment="1">
      <alignment horizontal="center" vertical="center"/>
    </xf>
    <xf numFmtId="0" fontId="20" fillId="0" borderId="21" xfId="0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6" fillId="0" borderId="17" xfId="0" applyFont="1" applyBorder="1" applyAlignment="1">
      <alignment horizontal="left" vertical="center"/>
    </xf>
    <xf numFmtId="165" fontId="5" fillId="0" borderId="20" xfId="0" applyNumberFormat="1" applyFont="1" applyBorder="1" applyAlignment="1">
      <alignment horizontal="center" vertical="center"/>
    </xf>
    <xf numFmtId="164" fontId="6" fillId="0" borderId="24" xfId="1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 wrapText="1"/>
    </xf>
    <xf numFmtId="164" fontId="6" fillId="0" borderId="24" xfId="1" applyFont="1" applyFill="1" applyBorder="1" applyAlignment="1" applyProtection="1">
      <alignment horizontal="right"/>
    </xf>
    <xf numFmtId="2" fontId="5" fillId="0" borderId="16" xfId="0" applyNumberFormat="1" applyFont="1" applyBorder="1" applyAlignment="1">
      <alignment horizontal="right" vertical="center" wrapText="1"/>
    </xf>
    <xf numFmtId="2" fontId="5" fillId="0" borderId="12" xfId="0" applyNumberFormat="1" applyFont="1" applyBorder="1" applyAlignment="1" applyProtection="1">
      <alignment horizontal="right"/>
      <protection locked="0"/>
    </xf>
    <xf numFmtId="166" fontId="6" fillId="0" borderId="12" xfId="0" applyNumberFormat="1" applyFont="1" applyBorder="1" applyAlignment="1">
      <alignment horizontal="center" vertical="center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25" fillId="0" borderId="3" xfId="0" applyFont="1" applyBorder="1" applyAlignment="1">
      <alignment horizontal="right" vertical="center"/>
    </xf>
    <xf numFmtId="0" fontId="25" fillId="0" borderId="17" xfId="0" applyFont="1" applyBorder="1" applyAlignment="1">
      <alignment horizontal="center" vertical="top"/>
    </xf>
    <xf numFmtId="0" fontId="25" fillId="0" borderId="17" xfId="0" applyFont="1" applyBorder="1" applyAlignment="1">
      <alignment horizontal="left" vertical="top"/>
    </xf>
    <xf numFmtId="0" fontId="25" fillId="0" borderId="8" xfId="0" applyFont="1" applyBorder="1" applyAlignment="1">
      <alignment horizontal="left"/>
    </xf>
    <xf numFmtId="164" fontId="25" fillId="0" borderId="20" xfId="1" applyFont="1" applyBorder="1" applyAlignment="1">
      <alignment horizontal="right" vertical="top"/>
    </xf>
    <xf numFmtId="9" fontId="16" fillId="2" borderId="12" xfId="0" applyNumberFormat="1" applyFont="1" applyFill="1" applyBorder="1" applyAlignment="1">
      <alignment horizontal="center" vertical="center" wrapText="1"/>
    </xf>
    <xf numFmtId="9" fontId="16" fillId="2" borderId="2" xfId="0" applyNumberFormat="1" applyFont="1" applyFill="1" applyBorder="1" applyAlignment="1">
      <alignment horizont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wrapText="1"/>
    </xf>
    <xf numFmtId="164" fontId="16" fillId="2" borderId="24" xfId="1" applyFont="1" applyFill="1" applyBorder="1" applyAlignment="1">
      <alignment horizontal="right" wrapText="1"/>
    </xf>
    <xf numFmtId="0" fontId="16" fillId="0" borderId="0" xfId="0" applyFont="1" applyBorder="1" applyAlignment="1">
      <alignment horizontal="center"/>
    </xf>
    <xf numFmtId="0" fontId="16" fillId="2" borderId="2" xfId="0" applyNumberFormat="1" applyFont="1" applyFill="1" applyBorder="1" applyAlignment="1">
      <alignment horizontal="center" wrapText="1"/>
    </xf>
    <xf numFmtId="49" fontId="16" fillId="2" borderId="24" xfId="1" applyNumberFormat="1" applyFont="1" applyFill="1" applyBorder="1" applyAlignment="1">
      <alignment horizontal="right" wrapText="1"/>
    </xf>
    <xf numFmtId="164" fontId="0" fillId="0" borderId="0" xfId="0" applyNumberFormat="1"/>
    <xf numFmtId="10" fontId="6" fillId="2" borderId="2" xfId="0" applyNumberFormat="1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right" vertical="center" wrapText="1"/>
    </xf>
    <xf numFmtId="0" fontId="16" fillId="0" borderId="0" xfId="0" applyFont="1" applyBorder="1" applyAlignment="1">
      <alignment horizontal="right"/>
    </xf>
    <xf numFmtId="49" fontId="29" fillId="0" borderId="12" xfId="0" applyNumberFormat="1" applyFont="1" applyBorder="1" applyAlignment="1" applyProtection="1">
      <alignment horizontal="right" vertical="top"/>
      <protection locked="0"/>
    </xf>
    <xf numFmtId="166" fontId="5" fillId="0" borderId="12" xfId="0" applyNumberFormat="1" applyFont="1" applyBorder="1" applyAlignment="1" applyProtection="1">
      <alignment horizontal="center"/>
      <protection locked="0"/>
    </xf>
    <xf numFmtId="0" fontId="20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5" fillId="0" borderId="23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49" fontId="7" fillId="0" borderId="23" xfId="0" applyNumberFormat="1" applyFont="1" applyBorder="1" applyAlignment="1" applyProtection="1">
      <alignment horizontal="left" vertical="center" wrapText="1" shrinkToFit="1"/>
      <protection locked="0"/>
    </xf>
    <xf numFmtId="49" fontId="7" fillId="0" borderId="0" xfId="0" applyNumberFormat="1" applyFont="1" applyBorder="1" applyAlignment="1" applyProtection="1">
      <alignment horizontal="left" vertical="center" wrapText="1" shrinkToFit="1"/>
      <protection locked="0"/>
    </xf>
    <xf numFmtId="49" fontId="7" fillId="0" borderId="2" xfId="0" applyNumberFormat="1" applyFont="1" applyBorder="1" applyAlignment="1" applyProtection="1">
      <alignment horizontal="left" vertical="center" shrinkToFit="1"/>
      <protection locked="0"/>
    </xf>
    <xf numFmtId="49" fontId="3" fillId="0" borderId="23" xfId="0" applyNumberFormat="1" applyFont="1" applyBorder="1" applyAlignment="1" applyProtection="1">
      <alignment horizontal="left" shrinkToFit="1"/>
      <protection locked="0"/>
    </xf>
    <xf numFmtId="49" fontId="3" fillId="0" borderId="0" xfId="0" applyNumberFormat="1" applyFont="1" applyBorder="1" applyAlignment="1" applyProtection="1">
      <alignment horizontal="left" shrinkToFit="1"/>
      <protection locked="0"/>
    </xf>
    <xf numFmtId="49" fontId="3" fillId="0" borderId="2" xfId="0" applyNumberFormat="1" applyFont="1" applyBorder="1" applyAlignment="1" applyProtection="1">
      <alignment horizontal="left" shrinkToFit="1"/>
      <protection locked="0"/>
    </xf>
    <xf numFmtId="0" fontId="16" fillId="0" borderId="25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49" fontId="12" fillId="0" borderId="9" xfId="0" applyNumberFormat="1" applyFont="1" applyBorder="1" applyAlignment="1">
      <alignment horizontal="left" vertical="center"/>
    </xf>
    <xf numFmtId="49" fontId="15" fillId="0" borderId="5" xfId="0" applyNumberFormat="1" applyFont="1" applyBorder="1" applyAlignment="1">
      <alignment horizontal="left" vertical="center"/>
    </xf>
    <xf numFmtId="49" fontId="15" fillId="0" borderId="28" xfId="0" applyNumberFormat="1" applyFont="1" applyBorder="1" applyAlignment="1">
      <alignment horizontal="left" vertical="center"/>
    </xf>
    <xf numFmtId="49" fontId="15" fillId="0" borderId="23" xfId="0" applyNumberFormat="1" applyFont="1" applyBorder="1" applyAlignment="1">
      <alignment horizontal="left" vertical="center"/>
    </xf>
    <xf numFmtId="49" fontId="15" fillId="0" borderId="0" xfId="0" applyNumberFormat="1" applyFont="1" applyBorder="1" applyAlignment="1">
      <alignment horizontal="left" vertical="center"/>
    </xf>
    <xf numFmtId="49" fontId="15" fillId="0" borderId="24" xfId="0" applyNumberFormat="1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2" fontId="30" fillId="0" borderId="14" xfId="0" applyNumberFormat="1" applyFont="1" applyBorder="1" applyAlignment="1">
      <alignment horizontal="left" vertical="center" shrinkToFit="1"/>
    </xf>
    <xf numFmtId="2" fontId="30" fillId="0" borderId="10" xfId="0" applyNumberFormat="1" applyFont="1" applyBorder="1" applyAlignment="1">
      <alignment horizontal="left" vertical="center" shrinkToFit="1"/>
    </xf>
    <xf numFmtId="2" fontId="30" fillId="0" borderId="29" xfId="0" applyNumberFormat="1" applyFont="1" applyBorder="1" applyAlignment="1">
      <alignment horizontal="left" vertical="center" shrinkToFi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top"/>
    </xf>
    <xf numFmtId="0" fontId="10" fillId="0" borderId="3" xfId="0" applyNumberFormat="1" applyFont="1" applyBorder="1" applyAlignment="1">
      <alignment horizontal="center" vertical="top"/>
    </xf>
    <xf numFmtId="49" fontId="3" fillId="0" borderId="23" xfId="0" applyNumberFormat="1" applyFont="1" applyBorder="1" applyAlignment="1">
      <alignment horizontal="left" vertical="center" shrinkToFit="1"/>
    </xf>
    <xf numFmtId="49" fontId="3" fillId="0" borderId="0" xfId="0" applyNumberFormat="1" applyFont="1" applyBorder="1" applyAlignment="1">
      <alignment horizontal="left" vertical="center" shrinkToFit="1"/>
    </xf>
    <xf numFmtId="0" fontId="10" fillId="0" borderId="24" xfId="0" applyNumberFormat="1" applyFont="1" applyBorder="1" applyAlignment="1">
      <alignment horizontal="center" vertical="top"/>
    </xf>
    <xf numFmtId="49" fontId="7" fillId="0" borderId="33" xfId="0" applyNumberFormat="1" applyFont="1" applyBorder="1" applyAlignment="1">
      <alignment horizontal="left" vertical="center"/>
    </xf>
    <xf numFmtId="49" fontId="7" fillId="0" borderId="18" xfId="0" applyNumberFormat="1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16" fillId="0" borderId="4" xfId="0" applyNumberFormat="1" applyFont="1" applyBorder="1" applyAlignment="1">
      <alignment horizontal="center"/>
    </xf>
    <xf numFmtId="0" fontId="16" fillId="0" borderId="5" xfId="0" applyNumberFormat="1" applyFont="1" applyBorder="1" applyAlignment="1">
      <alignment horizontal="center"/>
    </xf>
    <xf numFmtId="0" fontId="16" fillId="0" borderId="28" xfId="0" applyNumberFormat="1" applyFont="1" applyBorder="1" applyAlignment="1">
      <alignment horizontal="center"/>
    </xf>
    <xf numFmtId="49" fontId="3" fillId="0" borderId="25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0" fontId="16" fillId="0" borderId="23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5" fillId="0" borderId="11" xfId="0" applyNumberFormat="1" applyFont="1" applyBorder="1" applyAlignment="1">
      <alignment horizontal="center" vertical="center"/>
    </xf>
    <xf numFmtId="49" fontId="7" fillId="0" borderId="23" xfId="0" applyNumberFormat="1" applyFont="1" applyBorder="1" applyAlignment="1" applyProtection="1">
      <alignment horizontal="left" vertical="center" shrinkToFit="1"/>
      <protection locked="0"/>
    </xf>
    <xf numFmtId="49" fontId="7" fillId="0" borderId="0" xfId="0" applyNumberFormat="1" applyFont="1" applyBorder="1" applyAlignment="1" applyProtection="1">
      <alignment horizontal="left" vertical="center" shrinkToFit="1"/>
      <protection locked="0"/>
    </xf>
    <xf numFmtId="0" fontId="4" fillId="0" borderId="11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28" fillId="0" borderId="14" xfId="0" applyFont="1" applyBorder="1" applyAlignment="1">
      <alignment horizontal="left" vertical="top"/>
    </xf>
    <xf numFmtId="0" fontId="28" fillId="0" borderId="10" xfId="0" applyFont="1" applyBorder="1" applyAlignment="1">
      <alignment horizontal="left" vertical="top"/>
    </xf>
    <xf numFmtId="0" fontId="28" fillId="0" borderId="29" xfId="0" applyFont="1" applyBorder="1" applyAlignment="1">
      <alignment horizontal="left" vertical="top"/>
    </xf>
    <xf numFmtId="0" fontId="26" fillId="0" borderId="23" xfId="0" applyFont="1" applyBorder="1" applyAlignment="1">
      <alignment horizontal="left"/>
    </xf>
    <xf numFmtId="0" fontId="26" fillId="0" borderId="0" xfId="0" applyFont="1" applyBorder="1" applyAlignment="1">
      <alignment horizontal="left"/>
    </xf>
    <xf numFmtId="0" fontId="26" fillId="0" borderId="2" xfId="0" applyFont="1" applyBorder="1" applyAlignment="1">
      <alignment horizontal="left"/>
    </xf>
    <xf numFmtId="0" fontId="4" fillId="0" borderId="14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28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26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49" fontId="19" fillId="0" borderId="23" xfId="0" applyNumberFormat="1" applyFont="1" applyBorder="1" applyAlignment="1">
      <alignment horizontal="center" vertical="center"/>
    </xf>
    <xf numFmtId="49" fontId="19" fillId="0" borderId="0" xfId="0" applyNumberFormat="1" applyFont="1" applyBorder="1" applyAlignment="1">
      <alignment horizontal="center" vertical="center"/>
    </xf>
    <xf numFmtId="49" fontId="19" fillId="0" borderId="24" xfId="0" applyNumberFormat="1" applyFont="1" applyBorder="1" applyAlignment="1">
      <alignment horizontal="center" vertical="center"/>
    </xf>
    <xf numFmtId="49" fontId="5" fillId="0" borderId="17" xfId="0" applyNumberFormat="1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6" fillId="0" borderId="29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9" fillId="0" borderId="28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26" xfId="0" applyFont="1" applyBorder="1" applyAlignment="1">
      <alignment horizontal="center" vertical="top"/>
    </xf>
    <xf numFmtId="0" fontId="0" fillId="0" borderId="0" xfId="0"/>
    <xf numFmtId="0" fontId="0" fillId="0" borderId="2" xfId="0" applyBorder="1"/>
    <xf numFmtId="49" fontId="7" fillId="0" borderId="2" xfId="0" applyNumberFormat="1" applyFont="1" applyBorder="1" applyAlignment="1" applyProtection="1">
      <alignment horizontal="left" vertical="center" wrapText="1" shrinkToFit="1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5056F"/>
      <color rgb="FF230B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2</xdr:row>
      <xdr:rowOff>236219</xdr:rowOff>
    </xdr:from>
    <xdr:to>
      <xdr:col>8</xdr:col>
      <xdr:colOff>662940</xdr:colOff>
      <xdr:row>9</xdr:row>
      <xdr:rowOff>121920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868680" y="632459"/>
          <a:ext cx="7787640" cy="1280161"/>
        </a:xfrm>
        <a:prstGeom prst="rect">
          <a:avLst/>
        </a:prstGeom>
      </xdr:spPr>
    </xdr:pic>
    <xdr:clientData/>
  </xdr:twoCellAnchor>
  <xdr:twoCellAnchor editAs="oneCell">
    <xdr:from>
      <xdr:col>7</xdr:col>
      <xdr:colOff>754380</xdr:colOff>
      <xdr:row>56</xdr:row>
      <xdr:rowOff>213360</xdr:rowOff>
    </xdr:from>
    <xdr:to>
      <xdr:col>8</xdr:col>
      <xdr:colOff>1112628</xdr:colOff>
      <xdr:row>59</xdr:row>
      <xdr:rowOff>30530</xdr:rowOff>
    </xdr:to>
    <xdr:pic>
      <xdr:nvPicPr>
        <xdr:cNvPr id="4" name="Picture 3" descr="Sams Sign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6220" y="11521440"/>
          <a:ext cx="1249788" cy="571550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419101</xdr:colOff>
      <xdr:row>56</xdr:row>
      <xdr:rowOff>175261</xdr:rowOff>
    </xdr:from>
    <xdr:to>
      <xdr:col>7</xdr:col>
      <xdr:colOff>731520</xdr:colOff>
      <xdr:row>59</xdr:row>
      <xdr:rowOff>307917</xdr:rowOff>
    </xdr:to>
    <xdr:pic>
      <xdr:nvPicPr>
        <xdr:cNvPr id="5" name="Picture 4" descr="Round Stamp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41821" y="11483341"/>
          <a:ext cx="891539" cy="8870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Sreedhar\Downloads\0295%20-%20%20INVOICE%20COPY%20-%20SAAN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x Invoice"/>
      <sheetName val="Customize"/>
      <sheetName val="ExshailSpellNo"/>
    </sheetNames>
    <sheetDataSet>
      <sheetData sheetId="0"/>
      <sheetData sheetId="1"/>
      <sheetData sheetId="2">
        <row r="20">
          <cell r="B20" t="str">
            <v>Rupees Forty-Six Thousand Four Hundred Twenty Only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N65"/>
  <sheetViews>
    <sheetView showGridLines="0" tabSelected="1" topLeftCell="A40" zoomScaleSheetLayoutView="100" workbookViewId="0">
      <selection activeCell="K63" sqref="K63"/>
    </sheetView>
  </sheetViews>
  <sheetFormatPr defaultRowHeight="15.9" customHeight="1"/>
  <cols>
    <col min="1" max="1" width="7.109375" customWidth="1"/>
    <col min="2" max="2" width="7.44140625" customWidth="1"/>
    <col min="3" max="3" width="14.6640625" customWidth="1"/>
    <col min="4" max="4" width="44.6640625" customWidth="1"/>
    <col min="5" max="5" width="13.77734375" customWidth="1"/>
    <col min="6" max="6" width="7.44140625" customWidth="1"/>
    <col min="7" max="7" width="8.44140625" customWidth="1"/>
    <col min="8" max="8" width="13" style="1" customWidth="1"/>
    <col min="9" max="9" width="19.33203125" style="1" customWidth="1"/>
    <col min="10" max="10" width="13.77734375" customWidth="1"/>
  </cols>
  <sheetData>
    <row r="2" spans="2:14" ht="15.9" customHeight="1" thickBot="1"/>
    <row r="3" spans="2:14" s="3" customFormat="1" ht="19.5" customHeight="1">
      <c r="B3" s="49"/>
      <c r="C3" s="50"/>
      <c r="D3" s="83" t="s">
        <v>25</v>
      </c>
      <c r="E3" s="83"/>
      <c r="F3" s="83"/>
      <c r="G3" s="50"/>
      <c r="H3" s="84"/>
      <c r="I3" s="85"/>
    </row>
    <row r="4" spans="2:14" s="3" customFormat="1" ht="12.75" customHeight="1">
      <c r="B4" s="51"/>
      <c r="C4" s="52"/>
      <c r="D4" s="52"/>
      <c r="E4" s="52"/>
      <c r="F4" s="52"/>
      <c r="G4" s="52"/>
      <c r="H4" s="52"/>
      <c r="I4" s="53"/>
    </row>
    <row r="5" spans="2:14" ht="15.9" customHeight="1">
      <c r="B5" s="168"/>
      <c r="C5" s="169"/>
      <c r="D5" s="169"/>
      <c r="E5" s="169"/>
      <c r="F5" s="169"/>
      <c r="G5" s="169"/>
      <c r="H5" s="169"/>
      <c r="I5" s="170"/>
    </row>
    <row r="6" spans="2:14" ht="15.9" customHeight="1">
      <c r="B6" s="168"/>
      <c r="C6" s="169"/>
      <c r="D6" s="169"/>
      <c r="E6" s="169"/>
      <c r="F6" s="169"/>
      <c r="G6" s="169"/>
      <c r="H6" s="169"/>
      <c r="I6" s="170"/>
    </row>
    <row r="7" spans="2:14" ht="15.9" customHeight="1">
      <c r="B7" s="168"/>
      <c r="C7" s="169"/>
      <c r="D7" s="169"/>
      <c r="E7" s="169"/>
      <c r="F7" s="169"/>
      <c r="G7" s="169"/>
      <c r="H7" s="169"/>
      <c r="I7" s="170"/>
    </row>
    <row r="8" spans="2:14" ht="15.9" customHeight="1">
      <c r="B8" s="168"/>
      <c r="C8" s="169"/>
      <c r="D8" s="169"/>
      <c r="E8" s="169"/>
      <c r="F8" s="169"/>
      <c r="G8" s="169"/>
      <c r="H8" s="169"/>
      <c r="I8" s="170"/>
    </row>
    <row r="9" spans="2:14" ht="15.9" customHeight="1">
      <c r="B9" s="168"/>
      <c r="C9" s="169"/>
      <c r="D9" s="169"/>
      <c r="E9" s="169"/>
      <c r="F9" s="169"/>
      <c r="G9" s="169"/>
      <c r="H9" s="169"/>
      <c r="I9" s="170"/>
    </row>
    <row r="10" spans="2:14" ht="15.9" customHeight="1">
      <c r="B10" s="168"/>
      <c r="C10" s="169"/>
      <c r="D10" s="169"/>
      <c r="E10" s="169"/>
      <c r="F10" s="169"/>
      <c r="G10" s="169"/>
      <c r="H10" s="169"/>
      <c r="I10" s="170"/>
    </row>
    <row r="11" spans="2:14" ht="18" customHeight="1">
      <c r="B11" s="140" t="s">
        <v>24</v>
      </c>
      <c r="C11" s="141"/>
      <c r="D11" s="141"/>
      <c r="E11" s="141"/>
      <c r="F11" s="141"/>
      <c r="G11" s="141"/>
      <c r="H11" s="141"/>
      <c r="I11" s="142"/>
    </row>
    <row r="12" spans="2:14" ht="7.8" customHeight="1">
      <c r="B12" s="98"/>
      <c r="C12" s="99"/>
      <c r="D12" s="99"/>
      <c r="E12" s="99"/>
      <c r="F12" s="99"/>
      <c r="G12" s="99"/>
      <c r="H12" s="99"/>
      <c r="I12" s="143"/>
    </row>
    <row r="13" spans="2:14" ht="15.9" customHeight="1">
      <c r="B13" s="153" t="s">
        <v>40</v>
      </c>
      <c r="C13" s="154"/>
      <c r="D13" s="155"/>
      <c r="E13" s="54" t="s">
        <v>26</v>
      </c>
      <c r="F13" s="171" t="s">
        <v>45</v>
      </c>
      <c r="G13" s="171"/>
      <c r="H13" s="48" t="s">
        <v>2</v>
      </c>
      <c r="I13" s="33">
        <v>46114</v>
      </c>
      <c r="K13" s="4"/>
      <c r="N13" s="4"/>
    </row>
    <row r="14" spans="2:14" ht="15.9" customHeight="1">
      <c r="B14" s="95" t="s">
        <v>53</v>
      </c>
      <c r="C14" s="96"/>
      <c r="D14" s="97"/>
      <c r="E14" s="172"/>
      <c r="F14" s="173"/>
      <c r="G14" s="173"/>
      <c r="H14" s="173"/>
      <c r="I14" s="174"/>
    </row>
    <row r="15" spans="2:14" ht="15.9" customHeight="1">
      <c r="B15" s="145" t="s">
        <v>51</v>
      </c>
      <c r="C15" s="190"/>
      <c r="D15" s="191"/>
      <c r="E15" s="47" t="s">
        <v>27</v>
      </c>
      <c r="F15" s="144" t="s">
        <v>47</v>
      </c>
      <c r="G15" s="144"/>
      <c r="H15" s="32" t="s">
        <v>2</v>
      </c>
      <c r="I15" s="55">
        <v>46087</v>
      </c>
      <c r="K15" s="1"/>
    </row>
    <row r="16" spans="2:14" ht="18.600000000000001" customHeight="1">
      <c r="B16" s="145" t="s">
        <v>50</v>
      </c>
      <c r="C16" s="146"/>
      <c r="D16" s="94"/>
      <c r="E16" s="175" t="s">
        <v>42</v>
      </c>
      <c r="F16" s="175"/>
      <c r="G16" s="176" t="s">
        <v>49</v>
      </c>
      <c r="H16" s="176"/>
      <c r="I16" s="177"/>
    </row>
    <row r="17" spans="2:14" ht="15.9" customHeight="1">
      <c r="B17" s="92" t="s">
        <v>52</v>
      </c>
      <c r="C17" s="93"/>
      <c r="D17" s="192"/>
      <c r="E17" s="150" t="s">
        <v>31</v>
      </c>
      <c r="F17" s="151"/>
      <c r="G17" s="151"/>
      <c r="H17" s="151"/>
      <c r="I17" s="152"/>
      <c r="K17" s="4"/>
    </row>
    <row r="18" spans="2:14" ht="15.9" customHeight="1">
      <c r="B18" s="137" t="s">
        <v>54</v>
      </c>
      <c r="C18" s="138"/>
      <c r="D18" s="139"/>
      <c r="E18" s="147" t="s">
        <v>28</v>
      </c>
      <c r="F18" s="147"/>
      <c r="G18" s="148" t="s">
        <v>55</v>
      </c>
      <c r="H18" s="148"/>
      <c r="I18" s="149"/>
      <c r="K18" s="4"/>
      <c r="L18" s="4"/>
      <c r="M18" s="4"/>
      <c r="N18" s="4"/>
    </row>
    <row r="19" spans="2:14" ht="15.9" customHeight="1">
      <c r="B19" s="153" t="s">
        <v>41</v>
      </c>
      <c r="C19" s="154"/>
      <c r="D19" s="155"/>
      <c r="E19" s="164" t="s">
        <v>29</v>
      </c>
      <c r="F19" s="165"/>
      <c r="G19" s="158" t="s">
        <v>35</v>
      </c>
      <c r="H19" s="159"/>
      <c r="I19" s="160"/>
      <c r="K19" s="4"/>
      <c r="L19" s="4"/>
      <c r="M19" s="4"/>
      <c r="N19" s="4"/>
    </row>
    <row r="20" spans="2:14" ht="15.6" customHeight="1">
      <c r="B20" s="95" t="s">
        <v>53</v>
      </c>
      <c r="C20" s="96"/>
      <c r="D20" s="97"/>
      <c r="E20" s="166"/>
      <c r="F20" s="167"/>
      <c r="G20" s="161"/>
      <c r="H20" s="162"/>
      <c r="I20" s="163"/>
      <c r="K20" s="4"/>
      <c r="L20" s="4"/>
      <c r="M20" s="4"/>
      <c r="N20" s="4"/>
    </row>
    <row r="21" spans="2:14" ht="15.9" customHeight="1">
      <c r="B21" s="145" t="s">
        <v>51</v>
      </c>
      <c r="C21" s="190"/>
      <c r="D21" s="191"/>
      <c r="E21" s="156" t="s">
        <v>33</v>
      </c>
      <c r="F21" s="157"/>
      <c r="G21" s="178" t="s">
        <v>34</v>
      </c>
      <c r="H21" s="179"/>
      <c r="I21" s="180"/>
      <c r="K21" s="4"/>
      <c r="L21" s="4"/>
      <c r="M21" s="4"/>
      <c r="N21" s="4"/>
    </row>
    <row r="22" spans="2:14" ht="15.9" customHeight="1">
      <c r="B22" s="145" t="s">
        <v>50</v>
      </c>
      <c r="C22" s="146"/>
      <c r="D22" s="94"/>
      <c r="E22" s="181" t="s">
        <v>38</v>
      </c>
      <c r="F22" s="182"/>
      <c r="G22" s="182"/>
      <c r="H22" s="182"/>
      <c r="I22" s="183"/>
      <c r="K22" s="4"/>
      <c r="L22" s="4"/>
      <c r="M22" s="4"/>
      <c r="N22" s="4"/>
    </row>
    <row r="23" spans="2:14" ht="15.9" customHeight="1">
      <c r="B23" s="92" t="s">
        <v>52</v>
      </c>
      <c r="C23" s="93"/>
      <c r="D23" s="192"/>
      <c r="E23" s="184" t="s">
        <v>43</v>
      </c>
      <c r="F23" s="185"/>
      <c r="G23" s="185"/>
      <c r="H23" s="185"/>
      <c r="I23" s="186"/>
      <c r="K23" s="6"/>
      <c r="L23" s="4"/>
      <c r="M23" s="4"/>
      <c r="N23" s="4"/>
    </row>
    <row r="24" spans="2:14" ht="15.9" customHeight="1">
      <c r="B24" s="137" t="s">
        <v>54</v>
      </c>
      <c r="C24" s="138"/>
      <c r="D24" s="139"/>
      <c r="E24" s="187"/>
      <c r="F24" s="188"/>
      <c r="G24" s="188"/>
      <c r="H24" s="188"/>
      <c r="I24" s="189"/>
      <c r="K24" s="4"/>
      <c r="L24" s="4"/>
      <c r="M24" s="4"/>
      <c r="N24" s="4"/>
    </row>
    <row r="25" spans="2:14" ht="15.9" customHeight="1">
      <c r="B25" s="103" t="s">
        <v>10</v>
      </c>
      <c r="C25" s="111" t="s">
        <v>4</v>
      </c>
      <c r="D25" s="116" t="s">
        <v>13</v>
      </c>
      <c r="E25" s="111" t="s">
        <v>3</v>
      </c>
      <c r="F25" s="116" t="s">
        <v>0</v>
      </c>
      <c r="G25" s="118" t="s">
        <v>9</v>
      </c>
      <c r="H25" s="111" t="s">
        <v>11</v>
      </c>
      <c r="I25" s="120" t="s">
        <v>1</v>
      </c>
      <c r="K25" s="4"/>
      <c r="L25" s="4"/>
      <c r="M25" s="4"/>
      <c r="N25" s="4"/>
    </row>
    <row r="26" spans="2:14" ht="15.9" customHeight="1">
      <c r="B26" s="104"/>
      <c r="C26" s="112"/>
      <c r="D26" s="117"/>
      <c r="E26" s="112"/>
      <c r="F26" s="117"/>
      <c r="G26" s="119"/>
      <c r="H26" s="112"/>
      <c r="I26" s="121"/>
      <c r="K26" s="4"/>
      <c r="L26" s="4"/>
      <c r="M26" s="4"/>
      <c r="N26" s="4"/>
    </row>
    <row r="27" spans="2:14" ht="15.9" customHeight="1">
      <c r="B27" s="34"/>
      <c r="C27" s="45"/>
      <c r="D27" s="25"/>
      <c r="E27" s="23"/>
      <c r="F27" s="61"/>
      <c r="G27" s="57"/>
      <c r="H27" s="59"/>
      <c r="I27" s="56"/>
      <c r="K27" s="4"/>
      <c r="L27" s="4"/>
      <c r="M27" s="4"/>
      <c r="N27" s="4"/>
    </row>
    <row r="28" spans="2:14" ht="15.9" customHeight="1">
      <c r="B28" s="35">
        <v>1</v>
      </c>
      <c r="C28" s="8" t="s">
        <v>47</v>
      </c>
      <c r="D28" s="9" t="s">
        <v>46</v>
      </c>
      <c r="E28" s="10"/>
      <c r="F28" s="82">
        <v>280</v>
      </c>
      <c r="G28" s="7" t="s">
        <v>44</v>
      </c>
      <c r="H28" s="60">
        <v>98</v>
      </c>
      <c r="I28" s="58">
        <f>H28*F28</f>
        <v>27440</v>
      </c>
      <c r="K28" s="4"/>
      <c r="L28" s="4"/>
      <c r="M28" s="4"/>
      <c r="N28" s="4"/>
    </row>
    <row r="29" spans="2:14" ht="15.9" customHeight="1">
      <c r="B29" s="35"/>
      <c r="C29" s="8"/>
      <c r="D29" s="81" t="s">
        <v>48</v>
      </c>
      <c r="E29" s="10"/>
      <c r="F29" s="62"/>
      <c r="G29" s="7"/>
      <c r="H29" s="60"/>
      <c r="I29" s="58"/>
      <c r="K29" s="4"/>
      <c r="L29" s="4"/>
      <c r="M29" s="4"/>
      <c r="N29" s="4"/>
    </row>
    <row r="30" spans="2:14" ht="15.9" customHeight="1">
      <c r="B30" s="35"/>
      <c r="C30" s="8"/>
      <c r="D30" s="9"/>
      <c r="E30" s="10"/>
      <c r="F30" s="62"/>
      <c r="G30" s="7"/>
      <c r="H30" s="60"/>
      <c r="I30" s="58"/>
      <c r="K30" s="4"/>
      <c r="L30" s="4"/>
      <c r="M30" s="4"/>
      <c r="N30" s="4"/>
    </row>
    <row r="31" spans="2:14" ht="15.9" customHeight="1">
      <c r="B31" s="35"/>
      <c r="C31" s="8"/>
      <c r="D31" s="9"/>
      <c r="E31" s="10"/>
      <c r="F31" s="82"/>
      <c r="G31" s="7"/>
      <c r="H31" s="60"/>
      <c r="I31" s="58"/>
    </row>
    <row r="32" spans="2:14" ht="15.9" customHeight="1">
      <c r="B32" s="35"/>
      <c r="C32" s="8"/>
      <c r="D32" s="9"/>
      <c r="E32" s="10"/>
      <c r="F32" s="62"/>
      <c r="G32" s="7"/>
      <c r="H32" s="60"/>
      <c r="I32" s="58"/>
    </row>
    <row r="33" spans="2:13" ht="15.9" customHeight="1">
      <c r="B33" s="35"/>
      <c r="C33" s="8"/>
      <c r="D33" s="9"/>
      <c r="E33" s="10"/>
      <c r="F33" s="62"/>
      <c r="G33" s="7"/>
      <c r="H33" s="60"/>
      <c r="I33" s="58"/>
    </row>
    <row r="34" spans="2:13" ht="15.9" customHeight="1">
      <c r="B34" s="35"/>
      <c r="C34" s="8"/>
      <c r="D34" s="24"/>
      <c r="E34" s="10"/>
      <c r="F34" s="62"/>
      <c r="G34" s="7"/>
      <c r="H34" s="60"/>
      <c r="I34" s="58"/>
    </row>
    <row r="35" spans="2:13" ht="15.9" customHeight="1">
      <c r="B35" s="35"/>
      <c r="C35" s="8"/>
      <c r="D35" s="9"/>
      <c r="E35" s="10"/>
      <c r="F35" s="62"/>
      <c r="G35" s="7"/>
      <c r="H35" s="60"/>
      <c r="I35" s="58"/>
    </row>
    <row r="36" spans="2:13" ht="15.9" customHeight="1">
      <c r="B36" s="35"/>
      <c r="C36" s="8"/>
      <c r="D36" s="9"/>
      <c r="E36" s="10"/>
      <c r="F36" s="62"/>
      <c r="G36" s="7"/>
      <c r="H36" s="60"/>
      <c r="I36" s="58"/>
      <c r="K36" s="4"/>
      <c r="L36" s="4"/>
      <c r="M36" s="4"/>
    </row>
    <row r="37" spans="2:13" ht="15.9" customHeight="1">
      <c r="B37" s="35"/>
      <c r="C37" s="8"/>
      <c r="D37" s="9"/>
      <c r="E37" s="10"/>
      <c r="F37" s="62"/>
      <c r="G37" s="7"/>
      <c r="H37" s="60"/>
      <c r="I37" s="58"/>
      <c r="K37" s="4"/>
      <c r="L37" s="4"/>
      <c r="M37" s="4"/>
    </row>
    <row r="38" spans="2:13" ht="15.9" customHeight="1">
      <c r="B38" s="35"/>
      <c r="C38" s="8"/>
      <c r="D38" s="9"/>
      <c r="E38" s="10"/>
      <c r="F38" s="62"/>
      <c r="G38" s="7"/>
      <c r="H38" s="60"/>
      <c r="I38" s="58"/>
      <c r="K38" s="4"/>
      <c r="L38" s="4"/>
      <c r="M38" s="4"/>
    </row>
    <row r="39" spans="2:13" ht="15.9" customHeight="1">
      <c r="B39" s="35"/>
      <c r="C39" s="8"/>
      <c r="D39" s="9"/>
      <c r="E39" s="10"/>
      <c r="F39" s="62"/>
      <c r="G39" s="7"/>
      <c r="H39" s="60"/>
      <c r="I39" s="58"/>
      <c r="K39" s="4"/>
      <c r="L39" s="4"/>
      <c r="M39" s="4"/>
    </row>
    <row r="40" spans="2:13" ht="15.9" customHeight="1">
      <c r="B40" s="35"/>
      <c r="C40" s="8"/>
      <c r="D40" s="9"/>
      <c r="E40" s="10"/>
      <c r="F40" s="62"/>
      <c r="G40" s="7"/>
      <c r="H40" s="60"/>
      <c r="I40" s="58"/>
      <c r="K40" s="4"/>
      <c r="L40" s="4"/>
      <c r="M40" s="4"/>
    </row>
    <row r="41" spans="2:13" ht="15.9" customHeight="1">
      <c r="B41" s="35"/>
      <c r="C41" s="8"/>
      <c r="D41" s="24"/>
      <c r="E41" s="10"/>
      <c r="F41" s="62"/>
      <c r="G41" s="7"/>
      <c r="H41" s="60"/>
      <c r="I41" s="58"/>
      <c r="K41" s="4"/>
      <c r="L41" s="4"/>
      <c r="M41" s="4"/>
    </row>
    <row r="42" spans="2:13" ht="15.9" customHeight="1">
      <c r="B42" s="35"/>
      <c r="C42" s="8"/>
      <c r="D42" s="11"/>
      <c r="E42" s="10"/>
      <c r="F42" s="62"/>
      <c r="G42" s="7"/>
      <c r="H42" s="60"/>
      <c r="I42" s="58"/>
      <c r="K42" s="4"/>
      <c r="L42" s="4"/>
      <c r="M42" s="4"/>
    </row>
    <row r="43" spans="2:13" ht="15.9" customHeight="1">
      <c r="B43" s="35"/>
      <c r="C43" s="8"/>
      <c r="D43" s="11"/>
      <c r="E43" s="10"/>
      <c r="F43" s="62"/>
      <c r="G43" s="7"/>
      <c r="H43" s="60"/>
      <c r="I43" s="58"/>
      <c r="K43" s="4"/>
      <c r="L43" s="4"/>
      <c r="M43" s="4"/>
    </row>
    <row r="44" spans="2:13" ht="23.4" customHeight="1">
      <c r="B44" s="101" t="s">
        <v>20</v>
      </c>
      <c r="C44" s="101"/>
      <c r="D44" s="101"/>
      <c r="E44" s="101"/>
      <c r="F44" s="101"/>
      <c r="G44" s="101"/>
      <c r="H44" s="102"/>
      <c r="I44" s="36">
        <f>I28+I29+I30+I31+I32+I33+I34+I35+I36+I37+I38+I39+I40+I41+I42</f>
        <v>27440</v>
      </c>
      <c r="K44" s="4"/>
      <c r="L44" s="4"/>
      <c r="M44" s="4"/>
    </row>
    <row r="45" spans="2:13" ht="15.9" customHeight="1">
      <c r="B45" s="37"/>
      <c r="C45" s="13"/>
      <c r="D45" s="13"/>
      <c r="E45" s="14"/>
      <c r="F45" s="14"/>
      <c r="G45" s="14"/>
      <c r="H45" s="15"/>
      <c r="I45" s="38"/>
      <c r="K45" s="4"/>
      <c r="L45" s="4"/>
      <c r="M45" s="4"/>
    </row>
    <row r="46" spans="2:13" ht="15.9" customHeight="1">
      <c r="B46" s="39"/>
      <c r="C46" s="16"/>
      <c r="D46" s="78" t="s">
        <v>14</v>
      </c>
      <c r="E46" s="17"/>
      <c r="F46" s="17"/>
      <c r="G46" s="18"/>
      <c r="H46" s="77">
        <v>0.09</v>
      </c>
      <c r="I46" s="38">
        <f>I44*H46</f>
        <v>2469.6</v>
      </c>
      <c r="K46" s="4"/>
      <c r="L46" s="4"/>
      <c r="M46" s="4"/>
    </row>
    <row r="47" spans="2:13" ht="15.9" customHeight="1">
      <c r="B47" s="39"/>
      <c r="C47" s="16"/>
      <c r="D47" s="78"/>
      <c r="E47" s="17"/>
      <c r="F47" s="17"/>
      <c r="G47" s="20"/>
      <c r="H47" s="19"/>
      <c r="I47" s="38"/>
      <c r="K47" s="4"/>
      <c r="L47" s="4"/>
      <c r="M47" s="4"/>
    </row>
    <row r="48" spans="2:13" ht="15.9" customHeight="1">
      <c r="B48" s="39"/>
      <c r="C48" s="16"/>
      <c r="D48" s="78" t="s">
        <v>15</v>
      </c>
      <c r="E48" s="12"/>
      <c r="F48" s="12"/>
      <c r="G48" s="18"/>
      <c r="H48" s="77">
        <v>0.09</v>
      </c>
      <c r="I48" s="38">
        <f>I44*H48</f>
        <v>2469.6</v>
      </c>
      <c r="K48" s="4"/>
    </row>
    <row r="49" spans="2:12" ht="15.9" customHeight="1">
      <c r="B49" s="40"/>
      <c r="C49" s="13"/>
      <c r="D49" s="79"/>
      <c r="E49" s="12"/>
      <c r="F49" s="12"/>
      <c r="G49" s="20"/>
      <c r="H49" s="21"/>
      <c r="I49" s="38"/>
    </row>
    <row r="50" spans="2:12" ht="15.9" customHeight="1">
      <c r="B50" s="40"/>
      <c r="C50" s="13"/>
      <c r="D50" s="78" t="s">
        <v>16</v>
      </c>
      <c r="E50" s="12"/>
      <c r="F50" s="12"/>
      <c r="G50" s="18"/>
      <c r="H50" s="19"/>
      <c r="I50" s="38"/>
      <c r="J50" s="76"/>
      <c r="L50" s="1"/>
    </row>
    <row r="51" spans="2:12" ht="15.9" customHeight="1">
      <c r="B51" s="40"/>
      <c r="C51" s="13"/>
      <c r="D51" s="78"/>
      <c r="E51" s="12"/>
      <c r="F51" s="12"/>
      <c r="G51" s="18"/>
      <c r="H51" s="19"/>
      <c r="I51" s="38"/>
      <c r="L51" s="1"/>
    </row>
    <row r="52" spans="2:12" ht="15.9" customHeight="1">
      <c r="B52" s="40"/>
      <c r="C52" s="13"/>
      <c r="D52" s="80" t="s">
        <v>39</v>
      </c>
      <c r="E52" s="70"/>
      <c r="F52" s="71"/>
      <c r="G52" s="68"/>
      <c r="H52" s="69"/>
      <c r="I52" s="72">
        <f>I46+I48</f>
        <v>4939.2</v>
      </c>
      <c r="L52" s="1"/>
    </row>
    <row r="53" spans="2:12" ht="15.9" customHeight="1">
      <c r="B53" s="40"/>
      <c r="C53" s="13"/>
      <c r="D53" s="73"/>
      <c r="E53" s="70"/>
      <c r="F53" s="71"/>
      <c r="G53" s="68"/>
      <c r="H53" s="74"/>
      <c r="I53" s="75"/>
      <c r="L53" s="1"/>
    </row>
    <row r="54" spans="2:12" ht="15.9" customHeight="1">
      <c r="B54" s="41"/>
      <c r="C54" s="5"/>
      <c r="D54" s="63" t="s">
        <v>36</v>
      </c>
      <c r="E54" s="64" t="s">
        <v>37</v>
      </c>
      <c r="F54" s="65"/>
      <c r="G54" s="65"/>
      <c r="H54" s="66"/>
      <c r="I54" s="67"/>
    </row>
    <row r="55" spans="2:12" ht="21" customHeight="1">
      <c r="B55" s="98" t="s">
        <v>12</v>
      </c>
      <c r="C55" s="99"/>
      <c r="D55" s="99"/>
      <c r="E55" s="99"/>
      <c r="F55" s="99"/>
      <c r="G55" s="99"/>
      <c r="H55" s="100"/>
      <c r="I55" s="42">
        <f>I44+I52</f>
        <v>32379.200000000001</v>
      </c>
    </row>
    <row r="56" spans="2:12" s="2" customFormat="1" ht="21" customHeight="1">
      <c r="B56" s="124" t="s">
        <v>8</v>
      </c>
      <c r="C56" s="125"/>
      <c r="D56" s="113" t="s">
        <v>56</v>
      </c>
      <c r="E56" s="114"/>
      <c r="F56" s="114"/>
      <c r="G56" s="114"/>
      <c r="H56" s="114"/>
      <c r="I56" s="115"/>
    </row>
    <row r="57" spans="2:12" ht="18" customHeight="1">
      <c r="B57" s="129" t="s">
        <v>5</v>
      </c>
      <c r="C57" s="130"/>
      <c r="D57" s="26" t="s">
        <v>22</v>
      </c>
      <c r="E57" s="134" t="s">
        <v>21</v>
      </c>
      <c r="F57" s="135"/>
      <c r="G57" s="135"/>
      <c r="H57" s="135"/>
      <c r="I57" s="136"/>
    </row>
    <row r="58" spans="2:12" ht="20.25" customHeight="1">
      <c r="B58" s="131" t="s">
        <v>6</v>
      </c>
      <c r="C58" s="132"/>
      <c r="D58" s="22">
        <v>864020100111160</v>
      </c>
      <c r="E58" s="29"/>
      <c r="F58" s="30"/>
      <c r="G58" s="122"/>
      <c r="H58" s="122"/>
      <c r="I58" s="126"/>
    </row>
    <row r="59" spans="2:12" ht="21.75" customHeight="1">
      <c r="B59" s="129" t="s">
        <v>7</v>
      </c>
      <c r="C59" s="133"/>
      <c r="D59" s="27" t="s">
        <v>23</v>
      </c>
      <c r="E59" s="29"/>
      <c r="F59" s="30"/>
      <c r="G59" s="122"/>
      <c r="H59" s="122"/>
      <c r="I59" s="126"/>
    </row>
    <row r="60" spans="2:12" ht="26.25" customHeight="1">
      <c r="B60" s="127" t="s">
        <v>18</v>
      </c>
      <c r="C60" s="128"/>
      <c r="D60" s="28" t="s">
        <v>19</v>
      </c>
      <c r="E60" s="31"/>
      <c r="F60" s="44"/>
      <c r="G60" s="123"/>
      <c r="H60" s="123"/>
      <c r="I60" s="43" t="s">
        <v>17</v>
      </c>
      <c r="K60" s="4"/>
    </row>
    <row r="61" spans="2:12" ht="15.9" customHeight="1">
      <c r="B61" s="105" t="s">
        <v>30</v>
      </c>
      <c r="C61" s="106"/>
      <c r="D61" s="106"/>
      <c r="E61" s="106"/>
      <c r="F61" s="106"/>
      <c r="G61" s="106"/>
      <c r="H61" s="106"/>
      <c r="I61" s="107"/>
    </row>
    <row r="62" spans="2:12" ht="9" customHeight="1">
      <c r="B62" s="108"/>
      <c r="C62" s="109"/>
      <c r="D62" s="109"/>
      <c r="E62" s="109"/>
      <c r="F62" s="109"/>
      <c r="G62" s="109"/>
      <c r="H62" s="109"/>
      <c r="I62" s="110"/>
    </row>
    <row r="63" spans="2:12" ht="12" customHeight="1">
      <c r="B63" s="89" t="s">
        <v>32</v>
      </c>
      <c r="C63" s="90"/>
      <c r="D63" s="90"/>
      <c r="E63" s="90"/>
      <c r="F63" s="90"/>
      <c r="G63" s="90"/>
      <c r="H63" s="90"/>
      <c r="I63" s="91"/>
    </row>
    <row r="64" spans="2:12" ht="15.9" customHeight="1" thickBot="1">
      <c r="B64" s="86"/>
      <c r="C64" s="87"/>
      <c r="D64" s="87"/>
      <c r="E64" s="87"/>
      <c r="F64" s="87"/>
      <c r="G64" s="87"/>
      <c r="H64" s="87"/>
      <c r="I64" s="88"/>
    </row>
    <row r="65" spans="2:9" ht="15.9" customHeight="1">
      <c r="B65" s="46"/>
      <c r="C65" s="46"/>
      <c r="D65" s="46"/>
      <c r="E65" s="46"/>
      <c r="F65" s="46"/>
      <c r="G65" s="46"/>
      <c r="H65" s="46"/>
      <c r="I65" s="46"/>
    </row>
  </sheetData>
  <mergeCells count="52">
    <mergeCell ref="E16:F16"/>
    <mergeCell ref="G16:I16"/>
    <mergeCell ref="G21:I21"/>
    <mergeCell ref="E22:I22"/>
    <mergeCell ref="E23:I24"/>
    <mergeCell ref="B5:I10"/>
    <mergeCell ref="B14:D14"/>
    <mergeCell ref="F13:G13"/>
    <mergeCell ref="B13:D13"/>
    <mergeCell ref="E14:I14"/>
    <mergeCell ref="B24:D24"/>
    <mergeCell ref="B11:I12"/>
    <mergeCell ref="F15:G15"/>
    <mergeCell ref="B16:D16"/>
    <mergeCell ref="B17:D17"/>
    <mergeCell ref="B15:D15"/>
    <mergeCell ref="E18:F18"/>
    <mergeCell ref="G18:I18"/>
    <mergeCell ref="E17:I17"/>
    <mergeCell ref="B19:D19"/>
    <mergeCell ref="B21:D21"/>
    <mergeCell ref="B22:D22"/>
    <mergeCell ref="B18:D18"/>
    <mergeCell ref="E21:F21"/>
    <mergeCell ref="G19:I20"/>
    <mergeCell ref="E19:F20"/>
    <mergeCell ref="H25:H26"/>
    <mergeCell ref="G58:H60"/>
    <mergeCell ref="B56:C56"/>
    <mergeCell ref="C25:C26"/>
    <mergeCell ref="I58:I59"/>
    <mergeCell ref="B60:C60"/>
    <mergeCell ref="B57:C57"/>
    <mergeCell ref="B58:C58"/>
    <mergeCell ref="B59:C59"/>
    <mergeCell ref="E57:I57"/>
    <mergeCell ref="D3:F3"/>
    <mergeCell ref="H3:I3"/>
    <mergeCell ref="B64:I64"/>
    <mergeCell ref="B63:I63"/>
    <mergeCell ref="B23:D23"/>
    <mergeCell ref="B20:D20"/>
    <mergeCell ref="B55:H55"/>
    <mergeCell ref="B44:H44"/>
    <mergeCell ref="B25:B26"/>
    <mergeCell ref="B61:I62"/>
    <mergeCell ref="E25:E26"/>
    <mergeCell ref="D56:I56"/>
    <mergeCell ref="F25:F26"/>
    <mergeCell ref="G25:G26"/>
    <mergeCell ref="D25:D26"/>
    <mergeCell ref="I25:I26"/>
  </mergeCells>
  <printOptions horizontalCentered="1" verticalCentered="1"/>
  <pageMargins left="0.25" right="0.25" top="0.75" bottom="0.75" header="0.3" footer="0.3"/>
  <pageSetup scale="71" orientation="portrait" r:id="rId1"/>
  <headerFooter alignWithMargins="0"/>
  <ignoredErrors>
    <ignoredError sqref="G13" numberStoredAsText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SAM's PROFORMA 001</vt:lpstr>
      <vt:lpstr>Sheet1</vt:lpstr>
      <vt:lpstr>'SAM''s PROFORMA 001'!Print_Area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</dc:creator>
  <cp:lastModifiedBy>admin</cp:lastModifiedBy>
  <cp:lastPrinted>2026-04-02T11:13:35Z</cp:lastPrinted>
  <dcterms:created xsi:type="dcterms:W3CDTF">2017-05-06T03:15:21Z</dcterms:created>
  <dcterms:modified xsi:type="dcterms:W3CDTF">2026-04-02T11:13:57Z</dcterms:modified>
</cp:coreProperties>
</file>