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MS INVOICE 001" sheetId="1" r:id="rId1"/>
    <sheet name="Sheet1" sheetId="2" r:id="rId2"/>
  </sheets>
  <calcPr calcId="124519" fullCalcOnLoad="1"/>
</workbook>
</file>

<file path=xl/sharedStrings.xml><?xml version="1.0" encoding="utf-8"?>
<sst xmlns="http://schemas.openxmlformats.org/spreadsheetml/2006/main" count="339" uniqueCount="56">
  <si>
    <t xml:space="preserve">                        TAX INVOICE</t>
  </si>
  <si>
    <t>Original For Recipent</t>
  </si>
  <si>
    <t>GSTIN NUMBER : 36ATKPK1000F1Z9                                                                                            PAN NO  : ATKPK1000F</t>
  </si>
  <si>
    <t>BILLING ADDRESS:</t>
  </si>
  <si>
    <t>Invoice No.</t>
  </si>
  <si>
    <t>001</t>
  </si>
  <si>
    <t>Date :</t>
  </si>
  <si>
    <t>12-04-2026</t>
  </si>
  <si>
    <t>M/S.TECH CNC SOLUTIONS</t>
  </si>
  <si>
    <t>DC No.</t>
  </si>
  <si>
    <t>NO: 103, 4th Cross, 2nd Main Road</t>
  </si>
  <si>
    <t>Our Ref. No.</t>
  </si>
  <si>
    <t xml:space="preserve">Pragathi Layout, Janapriya Township, </t>
  </si>
  <si>
    <t>Transport Mode :</t>
  </si>
  <si>
    <t>BY ROAD /  TS08UK 5253</t>
  </si>
  <si>
    <t>Kadabagere, Bangaluru, Karnataka - 562130. India</t>
  </si>
  <si>
    <t>E- Challan Number :</t>
  </si>
  <si>
    <t>GSTIN NUMBER :      29AIZPN8763G1Z6                              STATE CODE :    29</t>
  </si>
  <si>
    <t>Date of Dispatch :</t>
  </si>
  <si>
    <t>GOODS SHIPPED ADDRESS:</t>
  </si>
  <si>
    <t>P.O. No. :</t>
  </si>
  <si>
    <t xml:space="preserve">Remarks : </t>
  </si>
  <si>
    <t>Supply of Used Machinery</t>
  </si>
  <si>
    <t>SL.NO.</t>
  </si>
  <si>
    <t>Part/ Item No</t>
  </si>
  <si>
    <t xml:space="preserve">Description </t>
  </si>
  <si>
    <t>HSN/SAC CODE</t>
  </si>
  <si>
    <t>QTY</t>
  </si>
  <si>
    <t>UNIT</t>
  </si>
  <si>
    <t xml:space="preserve">RATE </t>
  </si>
  <si>
    <t>Amount</t>
  </si>
  <si>
    <t>CR-290</t>
  </si>
  <si>
    <t>CHARMILL ROBO 250 Wire cut Machine</t>
  </si>
  <si>
    <t>8479</t>
  </si>
  <si>
    <t>01</t>
  </si>
  <si>
    <t>SET</t>
  </si>
  <si>
    <t xml:space="preserve">Used Machinery </t>
  </si>
  <si>
    <t xml:space="preserve">BASIC AMOUNT </t>
  </si>
  <si>
    <t xml:space="preserve">                          ADD CGST ( NON SET OFF )</t>
  </si>
  <si>
    <t xml:space="preserve">ADD SGST  </t>
  </si>
  <si>
    <t>ADD IGST</t>
  </si>
  <si>
    <t>TAX AMOUNT</t>
  </si>
  <si>
    <t>GRAND TOTAL AMOUNT</t>
  </si>
  <si>
    <t>Amount in words</t>
  </si>
  <si>
    <t xml:space="preserve">RUPEES ONE LAKH TWENTY NINE THOUSAND EIGHT HUNDRED ONLY. ( Round off -0.00 PAISE ) </t>
  </si>
  <si>
    <t>NAME OF THE BANK</t>
  </si>
  <si>
    <t>BANK OF INDIA</t>
  </si>
  <si>
    <t xml:space="preserve">                                                              For SAMS ENGINEERING</t>
  </si>
  <si>
    <t>ACCOUNT NUMBER</t>
  </si>
  <si>
    <t>IFSC CODE</t>
  </si>
  <si>
    <t>BKID0008640</t>
  </si>
  <si>
    <t>BRANCH</t>
  </si>
  <si>
    <t>Balanagar, Hyderabad. Telangana</t>
  </si>
  <si>
    <t>Authorised Signature</t>
  </si>
  <si>
    <t>DECLARATION : We declare that, This invoice shows the actual price of goods discribed and all that particulars are true and correct.</t>
  </si>
  <si>
    <t xml:space="preserve">Please note this is Computer genarated Copy. </t>
  </si>
</sst>
</file>

<file path=xl/styles.xml><?xml version="1.0" encoding="utf-8"?>
<styleSheet xmlns="http://schemas.openxmlformats.org/spreadsheetml/2006/main">
  <numFmts count="8">
    <numFmt numFmtId="164" formatCode="@"/>
    <numFmt numFmtId="165" formatCode="&quot;$&quot;#,##0;-&quot;$&quot;#,##0"/>
    <numFmt numFmtId="166" formatCode="* #,##0.00;* -#,##0.00;_(* &quot;-&quot;??_);_(@_)"/>
    <numFmt numFmtId="167" formatCode="#,##0.00;-#,##0.00"/>
    <numFmt numFmtId="168" formatCode="#,##0;-#,##0"/>
    <numFmt numFmtId="169" formatCode="0.00%"/>
    <numFmt numFmtId="170" formatCode="0.00;-0.00"/>
    <numFmt numFmtId="171" formatCode="0;-0"/>
  </numFmts>
  <fonts count="18">
    <font>
      <sz val="11"/>
      <color theme="1"/>
      <name val="Calibri"/>
      <family val="2"/>
      <scheme val="minor"/>
    </font>
    <font>
      <sz val="13"/>
      <color rgb="FF1F2326"/>
      <name val="PingFang"/>
      <family val="2"/>
    </font>
    <font>
      <b/>
      <i/>
      <sz val="12"/>
      <color theme="1"/>
      <name val="PingFang"/>
      <family val="2"/>
    </font>
    <font>
      <b/>
      <i/>
      <sz val="10"/>
      <color theme="1"/>
      <name val="PingFang"/>
      <family val="2"/>
    </font>
    <font>
      <b/>
      <sz val="13"/>
      <color theme="1"/>
      <name val="PingFang"/>
      <family val="2"/>
    </font>
    <font>
      <b/>
      <i/>
      <sz val="11"/>
      <color theme="1"/>
      <name val="PingFang"/>
      <family val="2"/>
    </font>
    <font>
      <i/>
      <u/>
      <sz val="10"/>
      <color theme="1"/>
      <name val="PingFang"/>
      <family val="2"/>
    </font>
    <font>
      <b/>
      <sz val="10"/>
      <color theme="1"/>
      <name val="PingFang"/>
      <family val="2"/>
    </font>
    <font>
      <b/>
      <sz val="9"/>
      <color theme="1"/>
      <name val="PingFang"/>
      <family val="2"/>
    </font>
    <font>
      <sz val="10"/>
      <color theme="1"/>
      <name val="PingFang"/>
      <family val="2"/>
    </font>
    <font>
      <sz val="9"/>
      <color theme="1"/>
      <name val="PingFang"/>
      <family val="2"/>
    </font>
    <font>
      <sz val="8"/>
      <color theme="1"/>
      <name val="PingFang"/>
      <family val="2"/>
    </font>
    <font>
      <b/>
      <u/>
      <sz val="10"/>
      <color theme="1"/>
      <name val="PingFang"/>
      <family val="2"/>
    </font>
    <font>
      <i/>
      <sz val="9"/>
      <color theme="1"/>
      <name val="PingFang"/>
      <family val="2"/>
    </font>
    <font>
      <b/>
      <i/>
      <sz val="9"/>
      <color theme="1"/>
      <name val="PingFang"/>
      <family val="2"/>
    </font>
    <font>
      <b/>
      <sz val="11"/>
      <color theme="1"/>
      <name val="PingFang"/>
      <family val="2"/>
    </font>
    <font>
      <i/>
      <sz val="10"/>
      <color theme="1"/>
      <name val="PingFang"/>
      <family val="2"/>
    </font>
    <font>
      <sz val="7"/>
      <color theme="1"/>
      <name val="PingFang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/>
  </cellStyleXfs>
  <cellXfs count="110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164" fontId="4" fillId="0" borderId="6" xfId="0" applyNumberFormat="1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left" wrapText="1"/>
    </xf>
    <xf numFmtId="0" fontId="7" fillId="0" borderId="3" xfId="0" applyFont="1" applyBorder="1" applyAlignment="1">
      <alignment horizontal="left" vertical="center" wrapText="1"/>
    </xf>
    <xf numFmtId="164" fontId="7" fillId="0" borderId="3" xfId="0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164" fontId="8" fillId="0" borderId="6" xfId="0" applyNumberFormat="1" applyFont="1" applyBorder="1" applyAlignment="1">
      <alignment horizontal="left" wrapText="1"/>
    </xf>
    <xf numFmtId="0" fontId="7" fillId="0" borderId="8" xfId="0" applyFont="1" applyBorder="1" applyAlignment="1">
      <alignment horizontal="left" vertical="center" wrapText="1"/>
    </xf>
    <xf numFmtId="164" fontId="9" fillId="0" borderId="9" xfId="0" applyNumberFormat="1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165" fontId="9" fillId="0" borderId="5" xfId="0" applyNumberFormat="1" applyFont="1" applyBorder="1" applyAlignment="1">
      <alignment horizontal="center" vertical="center" wrapText="1"/>
    </xf>
    <xf numFmtId="164" fontId="10" fillId="0" borderId="6" xfId="0" applyNumberFormat="1" applyFont="1" applyBorder="1" applyAlignment="1">
      <alignment horizontal="left" vertical="center" wrapText="1"/>
    </xf>
    <xf numFmtId="0" fontId="11" fillId="0" borderId="3" xfId="0" applyFont="1" applyBorder="1" applyAlignment="1">
      <alignment horizontal="center" vertical="center" wrapText="1"/>
    </xf>
    <xf numFmtId="165" fontId="9" fillId="0" borderId="3" xfId="0" applyNumberFormat="1" applyFont="1" applyBorder="1" applyAlignment="1">
      <alignment horizontal="center" vertical="center" wrapText="1"/>
    </xf>
    <xf numFmtId="0" fontId="9" fillId="0" borderId="0" xfId="0" applyFont="1" applyAlignment="1">
      <alignment horizontal="center" wrapText="1"/>
    </xf>
    <xf numFmtId="0" fontId="10" fillId="0" borderId="3" xfId="0" applyFont="1" applyBorder="1" applyAlignment="1">
      <alignment horizontal="center" vertical="center" wrapText="1"/>
    </xf>
    <xf numFmtId="164" fontId="8" fillId="0" borderId="8" xfId="0" applyNumberFormat="1" applyFont="1" applyBorder="1" applyAlignment="1">
      <alignment horizontal="left" vertical="center" wrapText="1"/>
    </xf>
    <xf numFmtId="164" fontId="10" fillId="0" borderId="3" xfId="0" applyNumberFormat="1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left" wrapText="1"/>
    </xf>
    <xf numFmtId="0" fontId="7" fillId="0" borderId="10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right" vertical="center" wrapText="1"/>
    </xf>
    <xf numFmtId="165" fontId="8" fillId="0" borderId="11" xfId="0" applyNumberFormat="1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 vertical="top" wrapText="1"/>
    </xf>
    <xf numFmtId="0" fontId="13" fillId="0" borderId="12" xfId="0" applyFont="1" applyBorder="1" applyAlignment="1">
      <alignment horizontal="left" vertical="center" wrapText="1"/>
    </xf>
    <xf numFmtId="0" fontId="14" fillId="0" borderId="6" xfId="0" applyFont="1" applyBorder="1" applyAlignment="1">
      <alignment horizontal="center" vertical="top" wrapText="1"/>
    </xf>
    <xf numFmtId="0" fontId="13" fillId="0" borderId="8" xfId="0" applyFont="1" applyBorder="1" applyAlignment="1">
      <alignment horizontal="left" vertical="top" wrapText="1"/>
    </xf>
    <xf numFmtId="0" fontId="9" fillId="0" borderId="0" xfId="0" applyFont="1" applyAlignment="1">
      <alignment horizontal="left" wrapText="1"/>
    </xf>
    <xf numFmtId="0" fontId="7" fillId="0" borderId="9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166" fontId="7" fillId="0" borderId="12" xfId="0" applyNumberFormat="1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166" fontId="7" fillId="0" borderId="5" xfId="0" applyNumberFormat="1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wrapText="1"/>
    </xf>
    <xf numFmtId="164" fontId="9" fillId="0" borderId="4" xfId="0" applyNumberFormat="1" applyFont="1" applyBorder="1" applyAlignment="1">
      <alignment horizontal="left" vertical="top" wrapText="1"/>
    </xf>
    <xf numFmtId="164" fontId="9" fillId="0" borderId="6" xfId="0" applyNumberFormat="1" applyFont="1" applyBorder="1" applyAlignment="1">
      <alignment horizontal="center" wrapText="1"/>
    </xf>
    <xf numFmtId="164" fontId="9" fillId="0" borderId="5" xfId="0" applyNumberFormat="1" applyFont="1" applyBorder="1" applyAlignment="1">
      <alignment horizontal="center" wrapText="1"/>
    </xf>
    <xf numFmtId="167" fontId="9" fillId="0" borderId="6" xfId="0" applyNumberFormat="1" applyFont="1" applyBorder="1" applyAlignment="1">
      <alignment horizontal="center" wrapText="1"/>
    </xf>
    <xf numFmtId="166" fontId="9" fillId="0" borderId="5" xfId="0" applyNumberFormat="1" applyFont="1" applyBorder="1" applyAlignment="1">
      <alignment horizontal="left" wrapText="1"/>
    </xf>
    <xf numFmtId="0" fontId="9" fillId="0" borderId="6" xfId="0" applyFont="1" applyBorder="1" applyAlignment="1">
      <alignment horizontal="center" vertical="top" wrapText="1"/>
    </xf>
    <xf numFmtId="164" fontId="3" fillId="0" borderId="6" xfId="0" applyNumberFormat="1" applyFont="1" applyBorder="1" applyAlignment="1">
      <alignment horizontal="right" vertical="top" wrapText="1"/>
    </xf>
    <xf numFmtId="164" fontId="3" fillId="0" borderId="4" xfId="0" applyNumberFormat="1" applyFont="1" applyBorder="1" applyAlignment="1">
      <alignment horizontal="right" vertical="top" wrapText="1"/>
    </xf>
    <xf numFmtId="0" fontId="9" fillId="0" borderId="6" xfId="0" applyFont="1" applyBorder="1" applyAlignment="1">
      <alignment horizontal="left" vertical="top" wrapText="1"/>
    </xf>
    <xf numFmtId="0" fontId="9" fillId="0" borderId="6" xfId="0" applyFont="1" applyBorder="1" applyAlignment="1">
      <alignment horizontal="left" wrapText="1"/>
    </xf>
    <xf numFmtId="0" fontId="9" fillId="0" borderId="4" xfId="0" applyFont="1" applyBorder="1" applyAlignment="1">
      <alignment horizontal="left" wrapText="1"/>
    </xf>
    <xf numFmtId="0" fontId="9" fillId="0" borderId="5" xfId="0" applyFont="1" applyBorder="1" applyAlignment="1">
      <alignment horizontal="left" wrapText="1"/>
    </xf>
    <xf numFmtId="0" fontId="9" fillId="0" borderId="5" xfId="0" applyFont="1" applyBorder="1" applyAlignment="1">
      <alignment horizontal="center" wrapText="1"/>
    </xf>
    <xf numFmtId="164" fontId="12" fillId="0" borderId="4" xfId="0" applyNumberFormat="1" applyFont="1" applyBorder="1" applyAlignment="1">
      <alignment horizontal="center" vertical="center" wrapText="1"/>
    </xf>
    <xf numFmtId="0" fontId="9" fillId="0" borderId="4" xfId="0" applyFont="1" applyBorder="1" applyAlignment="1">
      <alignment horizontal="left" vertical="top" wrapText="1"/>
    </xf>
    <xf numFmtId="168" fontId="9" fillId="0" borderId="5" xfId="0" applyNumberFormat="1" applyFont="1" applyBorder="1" applyAlignment="1">
      <alignment horizontal="center" wrapText="1"/>
    </xf>
    <xf numFmtId="0" fontId="9" fillId="0" borderId="8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top" wrapText="1"/>
    </xf>
    <xf numFmtId="0" fontId="9" fillId="0" borderId="14" xfId="0" applyFont="1" applyBorder="1" applyAlignment="1">
      <alignment horizontal="left" vertical="top" wrapText="1"/>
    </xf>
    <xf numFmtId="164" fontId="9" fillId="0" borderId="8" xfId="0" applyNumberFormat="1" applyFont="1" applyBorder="1" applyAlignment="1">
      <alignment horizontal="center" wrapText="1"/>
    </xf>
    <xf numFmtId="168" fontId="9" fillId="0" borderId="13" xfId="0" applyNumberFormat="1" applyFont="1" applyBorder="1" applyAlignment="1">
      <alignment horizontal="center" wrapText="1"/>
    </xf>
    <xf numFmtId="0" fontId="9" fillId="0" borderId="8" xfId="0" applyFont="1" applyBorder="1" applyAlignment="1">
      <alignment horizontal="center" wrapText="1"/>
    </xf>
    <xf numFmtId="167" fontId="9" fillId="0" borderId="8" xfId="0" applyNumberFormat="1" applyFont="1" applyBorder="1" applyAlignment="1">
      <alignment horizontal="center" wrapText="1"/>
    </xf>
    <xf numFmtId="166" fontId="9" fillId="0" borderId="13" xfId="0" applyNumberFormat="1" applyFont="1" applyBorder="1" applyAlignment="1">
      <alignment horizontal="left" wrapText="1"/>
    </xf>
    <xf numFmtId="0" fontId="5" fillId="0" borderId="3" xfId="0" applyFont="1" applyBorder="1" applyAlignment="1">
      <alignment horizontal="center" vertical="center" wrapText="1"/>
    </xf>
    <xf numFmtId="166" fontId="15" fillId="0" borderId="3" xfId="0" applyNumberFormat="1" applyFont="1" applyBorder="1" applyAlignment="1">
      <alignment horizontal="right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0" fontId="9" fillId="0" borderId="7" xfId="0" applyFont="1" applyBorder="1" applyAlignment="1">
      <alignment horizontal="left" wrapText="1"/>
    </xf>
    <xf numFmtId="0" fontId="9" fillId="0" borderId="12" xfId="0" applyFont="1" applyBorder="1" applyAlignment="1">
      <alignment horizontal="center" wrapText="1"/>
    </xf>
    <xf numFmtId="166" fontId="9" fillId="0" borderId="5" xfId="0" applyNumberFormat="1" applyFont="1" applyBorder="1" applyAlignment="1">
      <alignment horizontal="right" wrapText="1"/>
    </xf>
    <xf numFmtId="0" fontId="7" fillId="0" borderId="4" xfId="0" applyFont="1" applyBorder="1" applyAlignment="1">
      <alignment horizontal="left" wrapText="1"/>
    </xf>
    <xf numFmtId="0" fontId="7" fillId="0" borderId="0" xfId="0" applyFont="1" applyAlignment="1">
      <alignment horizontal="center" vertical="center" wrapText="1"/>
    </xf>
    <xf numFmtId="0" fontId="7" fillId="0" borderId="6" xfId="0" applyFont="1" applyBorder="1" applyAlignment="1">
      <alignment horizontal="left" wrapText="1"/>
    </xf>
    <xf numFmtId="169" fontId="7" fillId="0" borderId="6" xfId="0" applyNumberFormat="1" applyFont="1" applyBorder="1" applyAlignment="1">
      <alignment horizontal="center" vertical="center" wrapText="1"/>
    </xf>
    <xf numFmtId="169" fontId="7" fillId="0" borderId="5" xfId="0" applyNumberFormat="1" applyFont="1" applyBorder="1" applyAlignment="1">
      <alignment horizontal="center" wrapText="1"/>
    </xf>
    <xf numFmtId="170" fontId="9" fillId="0" borderId="5" xfId="0" applyNumberFormat="1" applyFont="1" applyBorder="1" applyAlignment="1">
      <alignment horizontal="right" wrapText="1"/>
    </xf>
    <xf numFmtId="0" fontId="7" fillId="0" borderId="5" xfId="0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16" fillId="0" borderId="4" xfId="0" applyFont="1" applyBorder="1" applyAlignment="1">
      <alignment horizontal="left" vertical="top" wrapText="1"/>
    </xf>
    <xf numFmtId="0" fontId="16" fillId="0" borderId="0" xfId="0" applyFont="1" applyAlignment="1">
      <alignment horizontal="left" vertical="top" wrapText="1"/>
    </xf>
    <xf numFmtId="0" fontId="16" fillId="0" borderId="6" xfId="0" applyFont="1" applyBorder="1" applyAlignment="1">
      <alignment horizontal="left" vertical="top" wrapText="1"/>
    </xf>
    <xf numFmtId="170" fontId="7" fillId="0" borderId="7" xfId="0" applyNumberFormat="1" applyFont="1" applyBorder="1" applyAlignment="1">
      <alignment horizontal="right" vertical="top" wrapText="1"/>
    </xf>
    <xf numFmtId="164" fontId="8" fillId="0" borderId="4" xfId="0" applyNumberFormat="1" applyFont="1" applyBorder="1" applyAlignment="1">
      <alignment horizontal="left" vertical="center" wrapText="1"/>
    </xf>
    <xf numFmtId="164" fontId="8" fillId="0" borderId="8" xfId="0" applyNumberFormat="1" applyFont="1" applyBorder="1" applyAlignment="1">
      <alignment horizontal="center" vertical="center" wrapText="1"/>
    </xf>
    <xf numFmtId="0" fontId="10" fillId="0" borderId="7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center" wrapText="1"/>
    </xf>
    <xf numFmtId="0" fontId="10" fillId="0" borderId="3" xfId="0" applyFont="1" applyBorder="1" applyAlignment="1">
      <alignment horizontal="left" vertical="center" wrapText="1"/>
    </xf>
    <xf numFmtId="171" fontId="8" fillId="0" borderId="8" xfId="0" applyNumberFormat="1" applyFont="1" applyBorder="1" applyAlignment="1">
      <alignment horizontal="left" vertical="center" wrapText="1"/>
    </xf>
    <xf numFmtId="0" fontId="17" fillId="0" borderId="4" xfId="0" applyFont="1" applyBorder="1" applyAlignment="1">
      <alignment horizontal="left" vertical="top" wrapText="1"/>
    </xf>
    <xf numFmtId="0" fontId="17" fillId="0" borderId="0" xfId="0" applyFont="1" applyAlignment="1">
      <alignment horizontal="left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5" xfId="0" applyFont="1" applyBorder="1" applyAlignment="1">
      <alignment horizontal="center" vertical="top" wrapText="1"/>
    </xf>
    <xf numFmtId="0" fontId="8" fillId="0" borderId="7" xfId="0" applyFont="1" applyBorder="1" applyAlignment="1">
      <alignment horizontal="left" vertical="center" wrapText="1"/>
    </xf>
    <xf numFmtId="164" fontId="10" fillId="0" borderId="3" xfId="0" applyNumberFormat="1" applyFont="1" applyBorder="1" applyAlignment="1">
      <alignment horizontal="left" vertical="center" wrapText="1"/>
    </xf>
    <xf numFmtId="164" fontId="8" fillId="0" borderId="11" xfId="0" applyNumberFormat="1" applyFont="1" applyBorder="1" applyAlignment="1">
      <alignment horizontal="left" vertical="center" wrapText="1"/>
    </xf>
    <xf numFmtId="164" fontId="11" fillId="0" borderId="14" xfId="0" applyNumberFormat="1" applyFont="1" applyBorder="1" applyAlignment="1">
      <alignment horizontal="left" wrapText="1"/>
    </xf>
    <xf numFmtId="164" fontId="11" fillId="0" borderId="9" xfId="0" applyNumberFormat="1" applyFont="1" applyBorder="1" applyAlignment="1">
      <alignment horizontal="left" wrapText="1"/>
    </xf>
    <xf numFmtId="164" fontId="11" fillId="0" borderId="13" xfId="0" applyNumberFormat="1" applyFont="1" applyBorder="1" applyAlignment="1">
      <alignment horizontal="left" vertical="center" wrapText="1"/>
    </xf>
    <xf numFmtId="164" fontId="10" fillId="0" borderId="7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381000</xdr:colOff>
      <xdr:row>3</xdr:row>
      <xdr:rowOff>9525</xdr:rowOff>
    </xdr:from>
    <xdr:to>
      <xdr:col>8</xdr:col>
      <xdr:colOff>792480</xdr:colOff>
      <xdr:row>10</xdr:row>
      <xdr:rowOff>71104</xdr:rowOff>
    </xdr:to>
    <xdr:pic>
      <xdr:nvPicPr>
        <xdr:cNvPr id="2" name="Picture 1" descr="4E25D7AF-D373-41FC-9B97-1E4213413A8B.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95350" y="581025"/>
          <a:ext cx="7745730" cy="13569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X64"/>
  <sheetViews>
    <sheetView tabSelected="1" workbookViewId="0"/>
  </sheetViews>
  <sheetFormatPr defaultRowHeight="15"/>
  <cols>
    <col min="1" max="1" width="7.7109375" customWidth="1"/>
    <col min="2" max="2" width="7.7109375" customWidth="1"/>
    <col min="3" max="3" width="14.7109375" customWidth="1"/>
    <col min="4" max="4" width="44.7109375" customWidth="1"/>
    <col min="5" max="5" width="12.7109375" customWidth="1"/>
    <col min="6" max="6" width="7.7109375" customWidth="1"/>
    <col min="7" max="7" width="9.7109375" customWidth="1"/>
    <col min="8" max="8" width="12.7109375" customWidth="1"/>
    <col min="9" max="9" width="19.7109375" customWidth="1"/>
    <col min="10" max="10" width="10.85546875" customWidth="1"/>
    <col min="11" max="11" width="10.85546875" customWidth="1"/>
    <col min="12" max="12" width="10.85546875" customWidth="1"/>
    <col min="13" max="13" width="10.85546875" customWidth="1"/>
    <col min="14" max="14" width="10.85546875" customWidth="1"/>
    <col min="15" max="15" width="10.85546875" customWidth="1"/>
    <col min="16" max="16" width="10.85546875" customWidth="1"/>
    <col min="17" max="17" width="10.85546875" customWidth="1"/>
    <col min="18" max="18" width="10.85546875" customWidth="1"/>
    <col min="19" max="19" width="10.85546875" customWidth="1"/>
    <col min="20" max="20" width="10.85546875" customWidth="1"/>
    <col min="21" max="21" width="10.85546875" customWidth="1"/>
    <col min="22" max="22" width="10.85546875" customWidth="1"/>
    <col min="23" max="23" width="10.85546875" customWidth="1"/>
    <col min="24" max="24" width="10.85546875" customWidth="1"/>
    <col min="25" max="25" width="10.85546875" customWidth="1"/>
    <col min="26" max="26" width="10.85546875" customWidth="1"/>
    <col min="27" max="27" width="10.85546875" customWidth="1"/>
    <col min="28" max="28" width="10.85546875" customWidth="1"/>
    <col min="29" max="29" width="10.85546875" customWidth="1"/>
    <col min="30" max="30" width="10.85546875" customWidth="1"/>
    <col min="31" max="31" width="10.85546875" customWidth="1"/>
    <col min="32" max="32" width="10.85546875" customWidth="1"/>
    <col min="33" max="33" width="10.85546875" customWidth="1"/>
    <col min="34" max="34" width="10.85546875" customWidth="1"/>
    <col min="35" max="35" width="10.85546875" customWidth="1"/>
    <col min="36" max="36" width="10.85546875" customWidth="1"/>
    <col min="37" max="37" width="10.85546875" customWidth="1"/>
    <col min="38" max="38" width="10.85546875" customWidth="1"/>
    <col min="39" max="39" width="10.85546875" customWidth="1"/>
    <col min="40" max="40" width="10.85546875" customWidth="1"/>
    <col min="41" max="41" width="10.85546875" customWidth="1"/>
    <col min="42" max="42" width="10.85546875" customWidth="1"/>
    <col min="43" max="43" width="10.85546875" customWidth="1"/>
    <col min="44" max="44" width="10.85546875" customWidth="1"/>
    <col min="45" max="45" width="10.85546875" customWidth="1"/>
    <col min="46" max="46" width="10.85546875" customWidth="1"/>
    <col min="47" max="47" width="10.85546875" customWidth="1"/>
    <col min="48" max="48" width="10.85546875" customWidth="1"/>
    <col min="49" max="49" width="10.85546875" customWidth="1"/>
    <col min="50" max="50" width="10.85546875" customWidth="1"/>
  </cols>
  <sheetData>
    <row r="1" spans="1:50" ht="27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ht="27" customHeight="1">
      <c r="A3" s="1"/>
      <c r="B3" s="2"/>
      <c r="C3" s="3"/>
      <c r="D3" s="4" t="s">
        <v>0</v>
      </c>
      <c r="E3" s="4"/>
      <c r="F3" s="4"/>
      <c r="G3" s="3"/>
      <c r="H3" s="5" t="s">
        <v>1</v>
      </c>
      <c r="I3" s="5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ht="12" customHeight="1">
      <c r="A4" s="1"/>
      <c r="B4" s="6"/>
      <c r="C4" s="7"/>
      <c r="D4" s="7"/>
      <c r="E4" s="7"/>
      <c r="F4" s="7"/>
      <c r="G4" s="7"/>
      <c r="H4" s="7"/>
      <c r="I4" s="8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>
      <c r="A5" s="1"/>
      <c r="B5" s="9"/>
      <c r="C5" s="9"/>
      <c r="D5" s="9"/>
      <c r="E5" s="9"/>
      <c r="F5" s="9"/>
      <c r="G5" s="9"/>
      <c r="H5" s="9"/>
      <c r="I5" s="9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>
      <c r="A6" s="1"/>
      <c r="B6" s="9"/>
      <c r="C6" s="9"/>
      <c r="D6" s="9"/>
      <c r="E6" s="9"/>
      <c r="F6" s="9"/>
      <c r="G6" s="9"/>
      <c r="H6" s="9"/>
      <c r="I6" s="9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>
      <c r="A7" s="1"/>
      <c r="B7" s="9"/>
      <c r="C7" s="9"/>
      <c r="D7" s="9"/>
      <c r="E7" s="9"/>
      <c r="F7" s="9"/>
      <c r="G7" s="9"/>
      <c r="H7" s="9"/>
      <c r="I7" s="9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>
      <c r="A8" s="1"/>
      <c r="B8" s="9"/>
      <c r="C8" s="9"/>
      <c r="D8" s="9"/>
      <c r="E8" s="9"/>
      <c r="F8" s="9"/>
      <c r="G8" s="9"/>
      <c r="H8" s="9"/>
      <c r="I8" s="9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>
      <c r="A9" s="1"/>
      <c r="B9" s="9"/>
      <c r="C9" s="9"/>
      <c r="D9" s="9"/>
      <c r="E9" s="9"/>
      <c r="F9" s="9"/>
      <c r="G9" s="9"/>
      <c r="H9" s="9"/>
      <c r="I9" s="9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>
      <c r="A10" s="1"/>
      <c r="B10" s="9"/>
      <c r="C10" s="9"/>
      <c r="D10" s="9"/>
      <c r="E10" s="9"/>
      <c r="F10" s="9"/>
      <c r="G10" s="9"/>
      <c r="H10" s="9"/>
      <c r="I10" s="9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ht="27" customHeight="1">
      <c r="A11" s="1"/>
      <c r="B11" s="10" t="s">
        <v>2</v>
      </c>
      <c r="C11" s="10"/>
      <c r="D11" s="10"/>
      <c r="E11" s="10"/>
      <c r="F11" s="10"/>
      <c r="G11" s="10"/>
      <c r="H11" s="10"/>
      <c r="I11" s="10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ht="6.75" customHeight="1">
      <c r="A12" s="1"/>
      <c r="B12" s="10"/>
      <c r="C12" s="10"/>
      <c r="D12" s="10"/>
      <c r="E12" s="10"/>
      <c r="F12" s="10"/>
      <c r="G12" s="10"/>
      <c r="H12" s="10"/>
      <c r="I12" s="10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ht="27" customHeight="1">
      <c r="A13" s="1"/>
      <c r="B13" s="11" t="s">
        <v>3</v>
      </c>
      <c r="C13" s="11"/>
      <c r="D13" s="11"/>
      <c r="E13" s="12" t="s">
        <v>4</v>
      </c>
      <c r="F13" s="13" t="s">
        <v>5</v>
      </c>
      <c r="G13" s="13"/>
      <c r="H13" s="14" t="s">
        <v>6</v>
      </c>
      <c r="I13" s="14" t="s">
        <v>7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ht="27" customHeight="1">
      <c r="A14" s="1"/>
      <c r="B14" s="15" t="s">
        <v>8</v>
      </c>
      <c r="C14" s="15"/>
      <c r="D14" s="15"/>
      <c r="E14" s="16" t="s">
        <v>9</v>
      </c>
      <c r="F14" s="17"/>
      <c r="G14" s="17"/>
      <c r="H14" s="18" t="s">
        <v>6</v>
      </c>
      <c r="I14" s="19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ht="27" customHeight="1">
      <c r="A15" s="1"/>
      <c r="B15" s="20" t="s">
        <v>10</v>
      </c>
      <c r="C15" s="20"/>
      <c r="D15" s="20"/>
      <c r="E15" s="12" t="s">
        <v>11</v>
      </c>
      <c r="F15" s="21"/>
      <c r="G15" s="21"/>
      <c r="H15" s="14" t="s">
        <v>6</v>
      </c>
      <c r="I15" s="22"/>
      <c r="J15" s="1"/>
      <c r="K15" s="23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ht="27" customHeight="1">
      <c r="A16" s="1"/>
      <c r="B16" s="20" t="s">
        <v>12</v>
      </c>
      <c r="C16" s="20"/>
      <c r="D16" s="20"/>
      <c r="E16" s="12" t="s">
        <v>13</v>
      </c>
      <c r="F16" s="12"/>
      <c r="G16" s="24" t="s">
        <v>14</v>
      </c>
      <c r="H16" s="24"/>
      <c r="I16" s="24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ht="27" customHeight="1">
      <c r="A17" s="1"/>
      <c r="B17" s="20" t="s">
        <v>15</v>
      </c>
      <c r="C17" s="20"/>
      <c r="D17" s="20"/>
      <c r="E17" s="12" t="s">
        <v>16</v>
      </c>
      <c r="F17" s="12"/>
      <c r="G17" s="14"/>
      <c r="H17" s="14"/>
      <c r="I17" s="1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ht="27" customHeight="1">
      <c r="A18" s="1"/>
      <c r="B18" s="25" t="s">
        <v>17</v>
      </c>
      <c r="C18" s="25"/>
      <c r="D18" s="25"/>
      <c r="E18" s="12" t="s">
        <v>18</v>
      </c>
      <c r="F18" s="12"/>
      <c r="G18" s="26" t="s">
        <v>7</v>
      </c>
      <c r="H18" s="26"/>
      <c r="I18" s="26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ht="27" customHeight="1">
      <c r="A19" s="1"/>
      <c r="B19" s="27" t="s">
        <v>19</v>
      </c>
      <c r="C19" s="27"/>
      <c r="D19" s="27"/>
      <c r="E19" s="21"/>
      <c r="F19" s="21"/>
      <c r="G19" s="21"/>
      <c r="H19" s="21"/>
      <c r="I19" s="2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ht="27" customHeight="1">
      <c r="A20" s="1"/>
      <c r="B20" s="15" t="s">
        <v>8</v>
      </c>
      <c r="C20" s="15"/>
      <c r="D20" s="15"/>
      <c r="E20" s="28" t="s">
        <v>20</v>
      </c>
      <c r="F20" s="29"/>
      <c r="G20" s="29"/>
      <c r="H20" s="30" t="s">
        <v>6</v>
      </c>
      <c r="I20" s="3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ht="27" customHeight="1">
      <c r="A21" s="1"/>
      <c r="B21" s="20" t="s">
        <v>10</v>
      </c>
      <c r="C21" s="20"/>
      <c r="D21" s="20"/>
      <c r="E21" s="32" t="s">
        <v>21</v>
      </c>
      <c r="F21" s="33"/>
      <c r="G21" s="33"/>
      <c r="H21" s="33"/>
      <c r="I21" s="33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ht="27" customHeight="1">
      <c r="A22" s="1"/>
      <c r="B22" s="20" t="s">
        <v>12</v>
      </c>
      <c r="C22" s="20"/>
      <c r="D22" s="20"/>
      <c r="E22" s="34"/>
      <c r="F22" s="34"/>
      <c r="G22" s="34"/>
      <c r="H22" s="34"/>
      <c r="I22" s="34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ht="27" customHeight="1">
      <c r="A23" s="1"/>
      <c r="B23" s="20" t="s">
        <v>15</v>
      </c>
      <c r="C23" s="20"/>
      <c r="D23" s="20"/>
      <c r="E23" s="35" t="s">
        <v>22</v>
      </c>
      <c r="F23" s="35"/>
      <c r="G23" s="35"/>
      <c r="H23" s="35"/>
      <c r="I23" s="35"/>
      <c r="J23" s="1"/>
      <c r="K23" s="36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ht="27" customHeight="1">
      <c r="A24" s="1"/>
      <c r="B24" s="25" t="s">
        <v>17</v>
      </c>
      <c r="C24" s="25"/>
      <c r="D24" s="25"/>
      <c r="E24" s="35"/>
      <c r="F24" s="35"/>
      <c r="G24" s="35"/>
      <c r="H24" s="35"/>
      <c r="I24" s="35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ht="27" customHeight="1">
      <c r="A25" s="1"/>
      <c r="B25" s="18" t="s">
        <v>23</v>
      </c>
      <c r="C25" s="18" t="s">
        <v>24</v>
      </c>
      <c r="D25" s="18" t="s">
        <v>25</v>
      </c>
      <c r="E25" s="18" t="s">
        <v>26</v>
      </c>
      <c r="F25" s="18" t="s">
        <v>27</v>
      </c>
      <c r="G25" s="37" t="s">
        <v>28</v>
      </c>
      <c r="H25" s="18" t="s">
        <v>29</v>
      </c>
      <c r="I25" s="38" t="s">
        <v>30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>
      <c r="A26" s="1"/>
      <c r="B26" s="18"/>
      <c r="C26" s="18"/>
      <c r="D26" s="18"/>
      <c r="E26" s="18"/>
      <c r="F26" s="18"/>
      <c r="G26" s="37"/>
      <c r="H26" s="18"/>
      <c r="I26" s="38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>
      <c r="A27" s="1"/>
      <c r="B27" s="39"/>
      <c r="C27" s="39"/>
      <c r="D27" s="40"/>
      <c r="E27" s="39"/>
      <c r="F27" s="41"/>
      <c r="G27" s="39"/>
      <c r="H27" s="39"/>
      <c r="I27" s="42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ht="27" customHeight="1">
      <c r="A28" s="1"/>
      <c r="B28" s="43">
        <v>1</v>
      </c>
      <c r="C28" s="1"/>
      <c r="D28" s="44"/>
      <c r="E28" s="43"/>
      <c r="F28" s="45"/>
      <c r="G28" s="43"/>
      <c r="H28" s="43"/>
      <c r="I28" s="46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ht="27" customHeight="1">
      <c r="A29" s="1"/>
      <c r="B29" s="47"/>
      <c r="C29" s="48" t="s">
        <v>31</v>
      </c>
      <c r="D29" s="49" t="s">
        <v>32</v>
      </c>
      <c r="E29" s="50" t="s">
        <v>33</v>
      </c>
      <c r="F29" s="51" t="s">
        <v>34</v>
      </c>
      <c r="G29" s="48" t="s">
        <v>35</v>
      </c>
      <c r="H29" s="52">
        <v>110000</v>
      </c>
      <c r="I29" s="53" t="str">
        <f>H29*F29</f>
        <v>110000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ht="27" customHeight="1">
      <c r="A30" s="1"/>
      <c r="B30" s="47"/>
      <c r="C30" s="54"/>
      <c r="D30" s="55" t="s">
        <v>36</v>
      </c>
      <c r="E30" s="50"/>
      <c r="F30" s="51"/>
      <c r="G30" s="48"/>
      <c r="H30" s="52"/>
      <c r="I30" s="53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>
      <c r="A31" s="1"/>
      <c r="B31" s="47"/>
      <c r="C31" s="54"/>
      <c r="D31" s="55"/>
      <c r="E31" s="50"/>
      <c r="F31" s="51"/>
      <c r="G31" s="48"/>
      <c r="H31" s="52"/>
      <c r="I31" s="53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>
      <c r="A32" s="1"/>
      <c r="B32" s="47"/>
      <c r="C32" s="1"/>
      <c r="D32" s="49"/>
      <c r="E32" s="50"/>
      <c r="F32" s="51"/>
      <c r="G32" s="48"/>
      <c r="H32" s="52"/>
      <c r="I32" s="53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ht="27" customHeight="1">
      <c r="A33" s="1"/>
      <c r="B33" s="47"/>
      <c r="C33" s="48"/>
      <c r="D33" s="49"/>
      <c r="E33" s="50"/>
      <c r="F33" s="51"/>
      <c r="G33" s="48"/>
      <c r="H33" s="52"/>
      <c r="I33" s="53" t="str">
        <f>H33*F33</f>
        <v>0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>
      <c r="A34" s="1"/>
      <c r="B34" s="47"/>
      <c r="C34" s="54"/>
      <c r="D34" s="56"/>
      <c r="E34" s="50"/>
      <c r="F34" s="51"/>
      <c r="G34" s="48"/>
      <c r="H34" s="52"/>
      <c r="I34" s="53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>
      <c r="A35" s="1"/>
      <c r="B35" s="47"/>
      <c r="C35" s="57"/>
      <c r="D35" s="49"/>
      <c r="E35" s="50"/>
      <c r="F35" s="51"/>
      <c r="G35" s="48"/>
      <c r="H35" s="52"/>
      <c r="I35" s="53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>
      <c r="A36" s="1"/>
      <c r="B36" s="58"/>
      <c r="C36" s="1"/>
      <c r="D36" s="59"/>
      <c r="E36" s="58"/>
      <c r="F36" s="60"/>
      <c r="G36" s="58"/>
      <c r="H36" s="48"/>
      <c r="I36" s="6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ht="27" customHeight="1">
      <c r="A37" s="1"/>
      <c r="B37" s="48"/>
      <c r="C37" s="48"/>
      <c r="D37" s="49"/>
      <c r="E37" s="50"/>
      <c r="F37" s="51"/>
      <c r="G37" s="48"/>
      <c r="H37" s="52"/>
      <c r="I37" s="53" t="str">
        <f>H37*F37</f>
        <v>0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>
      <c r="A38" s="1"/>
      <c r="B38" s="58"/>
      <c r="C38" s="48"/>
      <c r="D38" s="56"/>
      <c r="E38" s="50"/>
      <c r="F38" s="51"/>
      <c r="G38" s="48"/>
      <c r="H38" s="52"/>
      <c r="I38" s="53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>
      <c r="A39" s="1"/>
      <c r="B39" s="47"/>
      <c r="C39" s="54"/>
      <c r="D39" s="49"/>
      <c r="E39" s="50"/>
      <c r="F39" s="51"/>
      <c r="G39" s="48"/>
      <c r="H39" s="52"/>
      <c r="I39" s="53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>
      <c r="A40" s="1"/>
      <c r="B40" s="47"/>
      <c r="C40" s="54"/>
      <c r="D40" s="49"/>
      <c r="E40" s="50"/>
      <c r="F40" s="51"/>
      <c r="G40" s="48"/>
      <c r="H40" s="52"/>
      <c r="I40" s="53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>
      <c r="A41" s="1"/>
      <c r="B41" s="47"/>
      <c r="C41" s="54"/>
      <c r="D41" s="49"/>
      <c r="E41" s="50"/>
      <c r="F41" s="51"/>
      <c r="G41" s="48"/>
      <c r="H41" s="52"/>
      <c r="I41" s="53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>
      <c r="A42" s="1"/>
      <c r="B42" s="47"/>
      <c r="C42" s="54"/>
      <c r="D42" s="62"/>
      <c r="E42" s="50"/>
      <c r="F42" s="51"/>
      <c r="G42" s="48"/>
      <c r="H42" s="52"/>
      <c r="I42" s="5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>
      <c r="A43" s="1"/>
      <c r="B43" s="47"/>
      <c r="C43" s="54"/>
      <c r="D43" s="63"/>
      <c r="E43" s="50"/>
      <c r="F43" s="64"/>
      <c r="G43" s="48"/>
      <c r="H43" s="52"/>
      <c r="I43" s="53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>
      <c r="A44" s="1"/>
      <c r="B44" s="65"/>
      <c r="C44" s="66"/>
      <c r="D44" s="67"/>
      <c r="E44" s="68"/>
      <c r="F44" s="69"/>
      <c r="G44" s="70"/>
      <c r="H44" s="71"/>
      <c r="I44" s="72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ht="27" customHeight="1">
      <c r="A45" s="1"/>
      <c r="B45" s="73" t="s">
        <v>37</v>
      </c>
      <c r="C45" s="73"/>
      <c r="D45" s="73"/>
      <c r="E45" s="73"/>
      <c r="F45" s="73"/>
      <c r="G45" s="73"/>
      <c r="H45" s="73"/>
      <c r="I45" s="74" t="str">
        <f>I29+I33+I37</f>
        <v>110000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>
      <c r="A46" s="1"/>
      <c r="B46" s="75"/>
      <c r="C46" s="76"/>
      <c r="D46" s="76"/>
      <c r="E46" s="77"/>
      <c r="F46" s="77"/>
      <c r="G46" s="77"/>
      <c r="H46" s="78"/>
      <c r="I46" s="79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ht="27" customHeight="1">
      <c r="A47" s="1"/>
      <c r="B47" s="80"/>
      <c r="C47" s="81"/>
      <c r="D47" s="81" t="s">
        <v>38</v>
      </c>
      <c r="E47" s="82"/>
      <c r="F47" s="82"/>
      <c r="G47" s="83"/>
      <c r="H47" s="84">
        <v>0</v>
      </c>
      <c r="I47" s="85">
        <v>0</v>
      </c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>
      <c r="A48" s="1"/>
      <c r="B48" s="80"/>
      <c r="C48" s="81"/>
      <c r="D48" s="81"/>
      <c r="E48" s="82"/>
      <c r="F48" s="82"/>
      <c r="G48" s="43"/>
      <c r="H48" s="84"/>
      <c r="I48" s="79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ht="27" customHeight="1">
      <c r="A49" s="1"/>
      <c r="B49" s="80"/>
      <c r="C49" s="81"/>
      <c r="D49" s="81" t="s">
        <v>39</v>
      </c>
      <c r="E49" s="58"/>
      <c r="F49" s="58"/>
      <c r="G49" s="83"/>
      <c r="H49" s="84">
        <v>0</v>
      </c>
      <c r="I49" s="85" t="str">
        <f>I45*H49</f>
        <v>0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>
      <c r="A50" s="1"/>
      <c r="B50" s="59"/>
      <c r="C50" s="76"/>
      <c r="D50" s="76"/>
      <c r="E50" s="58"/>
      <c r="F50" s="58"/>
      <c r="G50" s="43"/>
      <c r="H50" s="86"/>
      <c r="I50" s="79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  <row r="51" spans="1:50" ht="27" customHeight="1">
      <c r="A51" s="1"/>
      <c r="B51" s="59"/>
      <c r="C51" s="76"/>
      <c r="D51" s="81" t="s">
        <v>40</v>
      </c>
      <c r="E51" s="58"/>
      <c r="F51" s="58"/>
      <c r="G51" s="83"/>
      <c r="H51" s="84">
        <v>0.18</v>
      </c>
      <c r="I51" s="79">
        <v>19800</v>
      </c>
      <c r="J51" s="1"/>
      <c r="K51" s="1"/>
      <c r="L51" s="23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</row>
    <row r="52" spans="1:50">
      <c r="A52" s="1"/>
      <c r="B52" s="59"/>
      <c r="C52" s="76"/>
      <c r="D52" s="81"/>
      <c r="E52" s="58"/>
      <c r="F52" s="58"/>
      <c r="G52" s="83"/>
      <c r="H52" s="84"/>
      <c r="I52" s="79"/>
      <c r="J52" s="1"/>
      <c r="K52" s="1"/>
      <c r="L52" s="23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</row>
    <row r="53" spans="1:50">
      <c r="A53" s="1"/>
      <c r="B53" s="59"/>
      <c r="C53" s="76"/>
      <c r="D53" s="87"/>
      <c r="E53" s="43"/>
      <c r="F53" s="58"/>
      <c r="G53" s="83"/>
      <c r="H53" s="84"/>
      <c r="I53" s="79"/>
      <c r="J53" s="1"/>
      <c r="K53" s="1"/>
      <c r="L53" s="23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</row>
    <row r="54" spans="1:50" ht="27" customHeight="1">
      <c r="A54" s="1"/>
      <c r="B54" s="88"/>
      <c r="C54" s="89"/>
      <c r="D54" s="81" t="s">
        <v>41</v>
      </c>
      <c r="E54" s="90"/>
      <c r="F54" s="90"/>
      <c r="G54" s="90"/>
      <c r="H54" s="60"/>
      <c r="I54" s="91" t="str">
        <f>I47+I49</f>
        <v>0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</row>
    <row r="55" spans="1:50" ht="27" customHeight="1">
      <c r="A55" s="1"/>
      <c r="B55" s="73" t="s">
        <v>42</v>
      </c>
      <c r="C55" s="73"/>
      <c r="D55" s="73"/>
      <c r="E55" s="73"/>
      <c r="F55" s="73"/>
      <c r="G55" s="73"/>
      <c r="H55" s="73"/>
      <c r="I55" s="74" t="str">
        <f>I45+I54+I51</f>
        <v>129800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</row>
    <row r="56" spans="1:50" ht="27" customHeight="1">
      <c r="A56" s="1"/>
      <c r="B56" s="92" t="s">
        <v>43</v>
      </c>
      <c r="C56" s="92"/>
      <c r="D56" s="93" t="s">
        <v>44</v>
      </c>
      <c r="E56" s="93"/>
      <c r="F56" s="93"/>
      <c r="G56" s="93"/>
      <c r="H56" s="93"/>
      <c r="I56" s="93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</row>
    <row r="57" spans="1:50" ht="27" customHeight="1">
      <c r="A57" s="1"/>
      <c r="B57" s="94" t="s">
        <v>45</v>
      </c>
      <c r="C57" s="94"/>
      <c r="D57" s="95" t="s">
        <v>46</v>
      </c>
      <c r="E57" s="96" t="s">
        <v>47</v>
      </c>
      <c r="F57" s="96"/>
      <c r="G57" s="96"/>
      <c r="H57" s="96"/>
      <c r="I57" s="96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</row>
    <row r="58" spans="1:50" ht="27" customHeight="1">
      <c r="A58" s="1"/>
      <c r="B58" s="97" t="s">
        <v>48</v>
      </c>
      <c r="C58" s="97"/>
      <c r="D58" s="98">
        <v>864020100111160</v>
      </c>
      <c r="E58" s="99"/>
      <c r="F58" s="100"/>
      <c r="G58" s="101"/>
      <c r="H58" s="101"/>
      <c r="I58" s="102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</row>
    <row r="59" spans="1:50" ht="27" customHeight="1">
      <c r="A59" s="1"/>
      <c r="B59" s="94" t="s">
        <v>49</v>
      </c>
      <c r="C59" s="94"/>
      <c r="D59" s="103" t="s">
        <v>50</v>
      </c>
      <c r="E59" s="99"/>
      <c r="F59" s="100"/>
      <c r="G59" s="101"/>
      <c r="H59" s="101"/>
      <c r="I59" s="102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</row>
    <row r="60" spans="1:50" ht="27" customHeight="1">
      <c r="A60" s="1"/>
      <c r="B60" s="104" t="s">
        <v>51</v>
      </c>
      <c r="C60" s="104"/>
      <c r="D60" s="105" t="s">
        <v>52</v>
      </c>
      <c r="E60" s="106"/>
      <c r="F60" s="107"/>
      <c r="G60" s="101"/>
      <c r="H60" s="101"/>
      <c r="I60" s="108" t="s">
        <v>53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</row>
    <row r="61" spans="1:50" ht="27" customHeight="1">
      <c r="A61" s="1"/>
      <c r="B61" s="109" t="s">
        <v>54</v>
      </c>
      <c r="C61" s="109"/>
      <c r="D61" s="109"/>
      <c r="E61" s="109"/>
      <c r="F61" s="109"/>
      <c r="G61" s="109"/>
      <c r="H61" s="109"/>
      <c r="I61" s="109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</row>
    <row r="62" spans="1:50" ht="9" customHeight="1">
      <c r="A62" s="1"/>
      <c r="B62" s="109"/>
      <c r="C62" s="109"/>
      <c r="D62" s="109"/>
      <c r="E62" s="109"/>
      <c r="F62" s="109"/>
      <c r="G62" s="109"/>
      <c r="H62" s="109"/>
      <c r="I62" s="109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</row>
    <row r="63" spans="1:50" ht="27" customHeight="1">
      <c r="A63" s="1"/>
      <c r="B63" s="47" t="s">
        <v>55</v>
      </c>
      <c r="C63" s="47"/>
      <c r="D63" s="47"/>
      <c r="E63" s="47"/>
      <c r="F63" s="47"/>
      <c r="G63" s="47"/>
      <c r="H63" s="47"/>
      <c r="I63" s="47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</row>
    <row r="64" spans="1:50">
      <c r="A64" s="1"/>
      <c r="B64" s="70"/>
      <c r="C64" s="70"/>
      <c r="D64" s="70"/>
      <c r="E64" s="70"/>
      <c r="F64" s="70"/>
      <c r="G64" s="70"/>
      <c r="H64" s="70"/>
      <c r="I64" s="70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</row>
  </sheetData>
  <mergeCells count="245">
    <mergeCell ref="D3:F3"/>
    <mergeCell ref="D3:F3"/>
    <mergeCell ref="D3:F3"/>
    <mergeCell ref="H3:I3"/>
    <mergeCell ref="H3:I3"/>
    <mergeCell ref="B5:I10"/>
    <mergeCell ref="B5:I10"/>
    <mergeCell ref="B5:I10"/>
    <mergeCell ref="B5:I10"/>
    <mergeCell ref="B5:I10"/>
    <mergeCell ref="B5:I10"/>
    <mergeCell ref="B5:I10"/>
    <mergeCell ref="B5:I10"/>
    <mergeCell ref="B5:I10"/>
    <mergeCell ref="B5:I10"/>
    <mergeCell ref="B5:I10"/>
    <mergeCell ref="B5:I10"/>
    <mergeCell ref="B5:I10"/>
    <mergeCell ref="B5:I10"/>
    <mergeCell ref="B5:I10"/>
    <mergeCell ref="B5:I10"/>
    <mergeCell ref="B5:I10"/>
    <mergeCell ref="B5:I10"/>
    <mergeCell ref="B5:I10"/>
    <mergeCell ref="B5:I10"/>
    <mergeCell ref="B5:I10"/>
    <mergeCell ref="B5:I10"/>
    <mergeCell ref="B5:I10"/>
    <mergeCell ref="B5:I10"/>
    <mergeCell ref="B5:I10"/>
    <mergeCell ref="B5:I10"/>
    <mergeCell ref="B5:I10"/>
    <mergeCell ref="B5:I10"/>
    <mergeCell ref="B5:I10"/>
    <mergeCell ref="B5:I10"/>
    <mergeCell ref="B5:I10"/>
    <mergeCell ref="B5:I10"/>
    <mergeCell ref="B5:I10"/>
    <mergeCell ref="B5:I10"/>
    <mergeCell ref="B5:I10"/>
    <mergeCell ref="B5:I10"/>
    <mergeCell ref="B5:I10"/>
    <mergeCell ref="B5:I10"/>
    <mergeCell ref="B5:I10"/>
    <mergeCell ref="B5:I10"/>
    <mergeCell ref="B5:I10"/>
    <mergeCell ref="B5:I10"/>
    <mergeCell ref="B5:I10"/>
    <mergeCell ref="B5:I10"/>
    <mergeCell ref="B5:I10"/>
    <mergeCell ref="B5:I10"/>
    <mergeCell ref="B5:I10"/>
    <mergeCell ref="B5:I10"/>
    <mergeCell ref="B11:I12"/>
    <mergeCell ref="B11:I12"/>
    <mergeCell ref="B11:I12"/>
    <mergeCell ref="B11:I12"/>
    <mergeCell ref="B11:I12"/>
    <mergeCell ref="B11:I12"/>
    <mergeCell ref="B11:I12"/>
    <mergeCell ref="B11:I12"/>
    <mergeCell ref="B11:I12"/>
    <mergeCell ref="B11:I12"/>
    <mergeCell ref="B11:I12"/>
    <mergeCell ref="B11:I12"/>
    <mergeCell ref="B11:I12"/>
    <mergeCell ref="B11:I12"/>
    <mergeCell ref="B11:I12"/>
    <mergeCell ref="B11:I12"/>
    <mergeCell ref="B13:D13"/>
    <mergeCell ref="B13:D13"/>
    <mergeCell ref="B13:D13"/>
    <mergeCell ref="F13:G13"/>
    <mergeCell ref="F13:G13"/>
    <mergeCell ref="B14:D14"/>
    <mergeCell ref="B14:D14"/>
    <mergeCell ref="B14:D14"/>
    <mergeCell ref="F14:G14"/>
    <mergeCell ref="F14:G14"/>
    <mergeCell ref="B15:D15"/>
    <mergeCell ref="B15:D15"/>
    <mergeCell ref="B15:D15"/>
    <mergeCell ref="F15:G15"/>
    <mergeCell ref="F15:G15"/>
    <mergeCell ref="B16:D16"/>
    <mergeCell ref="B16:D16"/>
    <mergeCell ref="B16:D16"/>
    <mergeCell ref="E16:F16"/>
    <mergeCell ref="E16:F16"/>
    <mergeCell ref="G16:I16"/>
    <mergeCell ref="G16:I16"/>
    <mergeCell ref="G16:I16"/>
    <mergeCell ref="B17:D17"/>
    <mergeCell ref="B17:D17"/>
    <mergeCell ref="B17:D17"/>
    <mergeCell ref="E17:F17"/>
    <mergeCell ref="E17:F17"/>
    <mergeCell ref="G17:I17"/>
    <mergeCell ref="G17:I17"/>
    <mergeCell ref="G17:I17"/>
    <mergeCell ref="B18:D18"/>
    <mergeCell ref="B18:D18"/>
    <mergeCell ref="B18:D18"/>
    <mergeCell ref="E18:F18"/>
    <mergeCell ref="E18:F18"/>
    <mergeCell ref="G18:I18"/>
    <mergeCell ref="G18:I18"/>
    <mergeCell ref="G18:I18"/>
    <mergeCell ref="B19:D19"/>
    <mergeCell ref="B19:D19"/>
    <mergeCell ref="B19:D19"/>
    <mergeCell ref="E19:I19"/>
    <mergeCell ref="E19:I19"/>
    <mergeCell ref="E19:I19"/>
    <mergeCell ref="E19:I19"/>
    <mergeCell ref="E19:I19"/>
    <mergeCell ref="B20:D20"/>
    <mergeCell ref="B20:D20"/>
    <mergeCell ref="B20:D20"/>
    <mergeCell ref="F20:G20"/>
    <mergeCell ref="F20:G20"/>
    <mergeCell ref="B21:D21"/>
    <mergeCell ref="B21:D21"/>
    <mergeCell ref="B21:D21"/>
    <mergeCell ref="F21:I21"/>
    <mergeCell ref="F21:I21"/>
    <mergeCell ref="F21:I21"/>
    <mergeCell ref="F21:I21"/>
    <mergeCell ref="B22:D22"/>
    <mergeCell ref="B22:D22"/>
    <mergeCell ref="B22:D22"/>
    <mergeCell ref="E22:I22"/>
    <mergeCell ref="E22:I22"/>
    <mergeCell ref="E22:I22"/>
    <mergeCell ref="E22:I22"/>
    <mergeCell ref="E22:I22"/>
    <mergeCell ref="B23:D23"/>
    <mergeCell ref="B23:D23"/>
    <mergeCell ref="B23:D23"/>
    <mergeCell ref="E23:I24"/>
    <mergeCell ref="E23:I24"/>
    <mergeCell ref="E23:I24"/>
    <mergeCell ref="E23:I24"/>
    <mergeCell ref="E23:I24"/>
    <mergeCell ref="B24:D24"/>
    <mergeCell ref="B24:D24"/>
    <mergeCell ref="B24:D24"/>
    <mergeCell ref="E23:I24"/>
    <mergeCell ref="E23:I24"/>
    <mergeCell ref="E23:I24"/>
    <mergeCell ref="E23:I24"/>
    <mergeCell ref="E23:I24"/>
    <mergeCell ref="B25:B26"/>
    <mergeCell ref="C25:C26"/>
    <mergeCell ref="D25:D26"/>
    <mergeCell ref="E25:E26"/>
    <mergeCell ref="F25:F26"/>
    <mergeCell ref="G25:G26"/>
    <mergeCell ref="H25:H26"/>
    <mergeCell ref="I25:I26"/>
    <mergeCell ref="B25:B26"/>
    <mergeCell ref="C25:C26"/>
    <mergeCell ref="D25:D26"/>
    <mergeCell ref="E25:E26"/>
    <mergeCell ref="F25:F26"/>
    <mergeCell ref="G25:G26"/>
    <mergeCell ref="H25:H26"/>
    <mergeCell ref="I25:I26"/>
    <mergeCell ref="D30:D31"/>
    <mergeCell ref="D30:D31"/>
    <mergeCell ref="B45:H45"/>
    <mergeCell ref="B45:H45"/>
    <mergeCell ref="B45:H45"/>
    <mergeCell ref="B45:H45"/>
    <mergeCell ref="B45:H45"/>
    <mergeCell ref="B45:H45"/>
    <mergeCell ref="B45:H45"/>
    <mergeCell ref="B55:H55"/>
    <mergeCell ref="B55:H55"/>
    <mergeCell ref="B55:H55"/>
    <mergeCell ref="B55:H55"/>
    <mergeCell ref="B55:H55"/>
    <mergeCell ref="B55:H55"/>
    <mergeCell ref="B55:H55"/>
    <mergeCell ref="B56:C56"/>
    <mergeCell ref="B56:C56"/>
    <mergeCell ref="D56:I56"/>
    <mergeCell ref="D56:I56"/>
    <mergeCell ref="D56:I56"/>
    <mergeCell ref="D56:I56"/>
    <mergeCell ref="D56:I56"/>
    <mergeCell ref="D56:I56"/>
    <mergeCell ref="B57:C57"/>
    <mergeCell ref="B57:C57"/>
    <mergeCell ref="E57:I57"/>
    <mergeCell ref="E57:I57"/>
    <mergeCell ref="E57:I57"/>
    <mergeCell ref="E57:I57"/>
    <mergeCell ref="E57:I57"/>
    <mergeCell ref="B58:C58"/>
    <mergeCell ref="B58:C58"/>
    <mergeCell ref="G58:H60"/>
    <mergeCell ref="G58:H60"/>
    <mergeCell ref="I58:I59"/>
    <mergeCell ref="B59:C59"/>
    <mergeCell ref="B59:C59"/>
    <mergeCell ref="G58:H60"/>
    <mergeCell ref="G58:H60"/>
    <mergeCell ref="I58:I59"/>
    <mergeCell ref="B60:C60"/>
    <mergeCell ref="B60:C60"/>
    <mergeCell ref="G58:H60"/>
    <mergeCell ref="G58:H60"/>
    <mergeCell ref="B61:I62"/>
    <mergeCell ref="B61:I62"/>
    <mergeCell ref="B61:I62"/>
    <mergeCell ref="B61:I62"/>
    <mergeCell ref="B61:I62"/>
    <mergeCell ref="B61:I62"/>
    <mergeCell ref="B61:I62"/>
    <mergeCell ref="B61:I62"/>
    <mergeCell ref="B61:I62"/>
    <mergeCell ref="B61:I62"/>
    <mergeCell ref="B61:I62"/>
    <mergeCell ref="B61:I62"/>
    <mergeCell ref="B61:I62"/>
    <mergeCell ref="B61:I62"/>
    <mergeCell ref="B61:I62"/>
    <mergeCell ref="B61:I62"/>
    <mergeCell ref="B63:I63"/>
    <mergeCell ref="B63:I63"/>
    <mergeCell ref="B63:I63"/>
    <mergeCell ref="B63:I63"/>
    <mergeCell ref="B63:I63"/>
    <mergeCell ref="B63:I63"/>
    <mergeCell ref="B63:I63"/>
    <mergeCell ref="B63:I63"/>
    <mergeCell ref="B64:I64"/>
    <mergeCell ref="B64:I64"/>
    <mergeCell ref="B64:I64"/>
    <mergeCell ref="B64:I64"/>
    <mergeCell ref="B64:I64"/>
    <mergeCell ref="B64:I64"/>
    <mergeCell ref="B64:I64"/>
    <mergeCell ref="B64:I64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X50"/>
  <sheetViews>
    <sheetView workbookViewId="0"/>
  </sheetViews>
  <sheetFormatPr defaultRowHeight="15"/>
  <cols>
    <col min="1" max="1" width="10.85546875" customWidth="1"/>
    <col min="2" max="2" width="10.85546875" customWidth="1"/>
    <col min="3" max="3" width="10.85546875" customWidth="1"/>
    <col min="4" max="4" width="10.85546875" customWidth="1"/>
    <col min="5" max="5" width="10.85546875" customWidth="1"/>
    <col min="6" max="6" width="10.85546875" customWidth="1"/>
    <col min="7" max="7" width="10.85546875" customWidth="1"/>
    <col min="8" max="8" width="10.85546875" customWidth="1"/>
    <col min="9" max="9" width="10.85546875" customWidth="1"/>
    <col min="10" max="10" width="10.85546875" customWidth="1"/>
    <col min="11" max="11" width="10.85546875" customWidth="1"/>
    <col min="12" max="12" width="10.85546875" customWidth="1"/>
    <col min="13" max="13" width="10.85546875" customWidth="1"/>
    <col min="14" max="14" width="10.85546875" customWidth="1"/>
    <col min="15" max="15" width="10.85546875" customWidth="1"/>
    <col min="16" max="16" width="10.85546875" customWidth="1"/>
    <col min="17" max="17" width="10.85546875" customWidth="1"/>
    <col min="18" max="18" width="10.85546875" customWidth="1"/>
    <col min="19" max="19" width="10.85546875" customWidth="1"/>
    <col min="20" max="20" width="10.85546875" customWidth="1"/>
    <col min="21" max="21" width="10.85546875" customWidth="1"/>
    <col min="22" max="22" width="10.85546875" customWidth="1"/>
    <col min="23" max="23" width="10.85546875" customWidth="1"/>
    <col min="24" max="24" width="10.85546875" customWidth="1"/>
    <col min="25" max="25" width="10.85546875" customWidth="1"/>
    <col min="26" max="26" width="10.85546875" customWidth="1"/>
    <col min="27" max="27" width="10.85546875" customWidth="1"/>
    <col min="28" max="28" width="10.85546875" customWidth="1"/>
    <col min="29" max="29" width="10.85546875" customWidth="1"/>
    <col min="30" max="30" width="10.85546875" customWidth="1"/>
    <col min="31" max="31" width="10.85546875" customWidth="1"/>
    <col min="32" max="32" width="10.85546875" customWidth="1"/>
    <col min="33" max="33" width="10.85546875" customWidth="1"/>
    <col min="34" max="34" width="10.85546875" customWidth="1"/>
    <col min="35" max="35" width="10.85546875" customWidth="1"/>
    <col min="36" max="36" width="10.85546875" customWidth="1"/>
    <col min="37" max="37" width="10.85546875" customWidth="1"/>
    <col min="38" max="38" width="10.85546875" customWidth="1"/>
    <col min="39" max="39" width="10.85546875" customWidth="1"/>
    <col min="40" max="40" width="10.85546875" customWidth="1"/>
    <col min="41" max="41" width="10.85546875" customWidth="1"/>
    <col min="42" max="42" width="10.85546875" customWidth="1"/>
    <col min="43" max="43" width="10.85546875" customWidth="1"/>
    <col min="44" max="44" width="10.85546875" customWidth="1"/>
    <col min="45" max="45" width="10.85546875" customWidth="1"/>
    <col min="46" max="46" width="10.85546875" customWidth="1"/>
    <col min="47" max="47" width="10.85546875" customWidth="1"/>
    <col min="48" max="48" width="10.85546875" customWidth="1"/>
    <col min="49" max="49" width="10.85546875" customWidth="1"/>
    <col min="50" max="50" width="10.85546875" customWidth="1"/>
  </cols>
  <sheetData>
    <row r="1" spans="1:50" ht="27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spans="1:50" ht="27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spans="1:50" ht="27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spans="1:50" ht="27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spans="1:50" ht="27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spans="1:50" ht="27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spans="1:50" ht="27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spans="1:50" ht="27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spans="1:50" ht="27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</row>
    <row r="10" spans="1:50" ht="27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</row>
    <row r="11" spans="1:50" ht="27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</row>
    <row r="12" spans="1:50" ht="27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</row>
    <row r="13" spans="1:50" ht="27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</row>
    <row r="14" spans="1:50" ht="27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</row>
    <row r="15" spans="1:50" ht="27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</row>
    <row r="16" spans="1:50" ht="27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</row>
    <row r="17" spans="1:50" ht="27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</row>
    <row r="18" spans="1:50" ht="27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</row>
    <row r="19" spans="1:50" ht="27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</row>
    <row r="20" spans="1:50" ht="27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</row>
    <row r="21" spans="1:50" ht="27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</row>
    <row r="22" spans="1:50" ht="27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</row>
    <row r="23" spans="1:50" ht="27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</row>
    <row r="24" spans="1:50" ht="27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</row>
    <row r="25" spans="1:50" ht="27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</row>
    <row r="26" spans="1:50" ht="27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</row>
    <row r="27" spans="1:50" ht="27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</row>
    <row r="28" spans="1:50" ht="27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</row>
    <row r="29" spans="1:50" ht="27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</row>
    <row r="30" spans="1:50" ht="27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</row>
    <row r="31" spans="1:50" ht="27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</row>
    <row r="32" spans="1:50" ht="27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</row>
    <row r="33" spans="1:50" ht="27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</row>
    <row r="34" spans="1:50" ht="27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</row>
    <row r="35" spans="1:50" ht="27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</row>
    <row r="36" spans="1:50" ht="27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</row>
    <row r="37" spans="1:50" ht="27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</row>
    <row r="38" spans="1:50" ht="27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</row>
    <row r="39" spans="1:50" ht="27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</row>
    <row r="40" spans="1:50" ht="27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</row>
    <row r="41" spans="1:50" ht="27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</row>
    <row r="42" spans="1:50" ht="27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</row>
    <row r="43" spans="1:50" ht="27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</row>
    <row r="44" spans="1:50" ht="27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</row>
    <row r="45" spans="1:50" ht="27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</row>
    <row r="46" spans="1:50" ht="27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</row>
    <row r="47" spans="1:50" ht="27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</row>
    <row r="48" spans="1:50" ht="27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</row>
    <row r="49" spans="1:50" ht="27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</row>
    <row r="50" spans="1:50" ht="27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SAMS INVOICE 001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2026-04-12T09:20:43Z</dcterms:created>
  <dcterms:modified xsi:type="dcterms:W3CDTF">2026-04-12T09:20:43Z</dcterms:modified>
</cp:coreProperties>
</file>